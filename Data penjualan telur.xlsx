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EACHING FARM UB\Periode 4\"/>
    </mc:Choice>
  </mc:AlternateContent>
  <xr:revisionPtr revIDLastSave="0" documentId="8_{5382EB3D-63E3-43DD-88BD-304B553C2326}" xr6:coauthVersionLast="47" xr6:coauthVersionMax="47" xr10:uidLastSave="{00000000-0000-0000-0000-000000000000}"/>
  <bookViews>
    <workbookView xWindow="-120" yWindow="-120" windowWidth="29040" windowHeight="15720" xr2:uid="{B329464B-EDD4-40E8-8DFD-B12D46261112}"/>
  </bookViews>
  <sheets>
    <sheet name="Book2" sheetId="1" r:id="rId1"/>
  </sheets>
  <definedNames>
    <definedName name="_xlnm._FilterDatabase" localSheetId="0" hidden="1">Book2!$J$1:$Q$88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" l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8" i="1"/>
  <c r="AH88" i="1"/>
  <c r="AG89" i="1"/>
  <c r="AH89" i="1"/>
  <c r="AG90" i="1"/>
  <c r="AH90" i="1"/>
  <c r="AG91" i="1"/>
  <c r="AH91" i="1"/>
  <c r="AG93" i="1"/>
  <c r="AH93" i="1"/>
  <c r="AG94" i="1"/>
  <c r="AH94" i="1"/>
  <c r="AG95" i="1"/>
  <c r="AH95" i="1"/>
  <c r="AG96" i="1"/>
  <c r="AH96" i="1"/>
  <c r="AH2" i="1"/>
  <c r="AG2" i="1"/>
  <c r="X2" i="1"/>
  <c r="W2" i="1"/>
  <c r="W3" i="1" s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V2" i="1"/>
  <c r="V3" i="1" s="1"/>
  <c r="U2" i="1"/>
  <c r="T2" i="1"/>
  <c r="T3" i="1" s="1"/>
  <c r="S2" i="1"/>
  <c r="AJ96" i="1"/>
  <c r="I96" i="1"/>
  <c r="H96" i="1"/>
  <c r="AJ95" i="1"/>
  <c r="I95" i="1"/>
  <c r="H95" i="1"/>
  <c r="AJ85" i="1"/>
  <c r="AJ94" i="1"/>
  <c r="I94" i="1"/>
  <c r="H94" i="1"/>
  <c r="AJ93" i="1"/>
  <c r="I93" i="1"/>
  <c r="H93" i="1"/>
  <c r="AJ92" i="1"/>
  <c r="I92" i="1"/>
  <c r="H92" i="1"/>
  <c r="AJ91" i="1"/>
  <c r="I91" i="1"/>
  <c r="H91" i="1"/>
  <c r="AJ90" i="1"/>
  <c r="I90" i="1"/>
  <c r="H90" i="1"/>
  <c r="AJ89" i="1"/>
  <c r="I89" i="1"/>
  <c r="H89" i="1"/>
  <c r="AI57" i="1"/>
  <c r="AI62" i="1"/>
  <c r="AI69" i="1"/>
  <c r="AI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8" i="1"/>
  <c r="AJ71" i="1"/>
  <c r="AJ70" i="1"/>
  <c r="AJ69" i="1"/>
  <c r="AJ65" i="1"/>
  <c r="AJ66" i="1"/>
  <c r="AJ67" i="1"/>
  <c r="AJ68" i="1"/>
  <c r="AJ62" i="1"/>
  <c r="AJ63" i="1"/>
  <c r="AJ64" i="1"/>
  <c r="AJ59" i="1"/>
  <c r="AJ60" i="1"/>
  <c r="AJ61" i="1"/>
  <c r="AJ57" i="1"/>
  <c r="AJ58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2" i="1"/>
  <c r="I88" i="1"/>
  <c r="H88" i="1"/>
  <c r="I84" i="1"/>
  <c r="H84" i="1"/>
  <c r="I81" i="1"/>
  <c r="H81" i="1"/>
  <c r="I79" i="1"/>
  <c r="H79" i="1"/>
  <c r="I77" i="1"/>
  <c r="H77" i="1"/>
  <c r="I76" i="1"/>
  <c r="H76" i="1"/>
  <c r="I72" i="1"/>
  <c r="H72" i="1"/>
  <c r="I70" i="1"/>
  <c r="H70" i="1"/>
  <c r="I68" i="1"/>
  <c r="H68" i="1"/>
  <c r="I67" i="1"/>
  <c r="H67" i="1"/>
  <c r="I66" i="1"/>
  <c r="H66" i="1"/>
  <c r="I65" i="1"/>
  <c r="H65" i="1"/>
  <c r="I61" i="1"/>
  <c r="H61" i="1"/>
  <c r="I60" i="1"/>
  <c r="H60" i="1"/>
  <c r="I59" i="1"/>
  <c r="H59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H6" i="1"/>
  <c r="I5" i="1"/>
  <c r="H5" i="1"/>
  <c r="H4" i="1"/>
  <c r="H3" i="1"/>
  <c r="A3" i="1"/>
  <c r="I2" i="1"/>
  <c r="H2" i="1"/>
  <c r="U3" i="1" l="1"/>
  <c r="Y2" i="1"/>
  <c r="AC2" i="1" s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Z2" i="1"/>
  <c r="AD2" i="1" s="1"/>
  <c r="T4" i="1"/>
  <c r="S3" i="1"/>
  <c r="V4" i="1"/>
  <c r="Z3" i="1"/>
  <c r="AD3" i="1" s="1"/>
  <c r="U4" i="1"/>
  <c r="Y3" i="1"/>
  <c r="AI58" i="1"/>
  <c r="AI63" i="1"/>
  <c r="AI6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9" i="1" s="1"/>
  <c r="A60" i="1" s="1"/>
  <c r="A61" i="1" s="1"/>
  <c r="A65" i="1" s="1"/>
  <c r="A66" i="1" s="1"/>
  <c r="A67" i="1" s="1"/>
  <c r="A68" i="1" s="1"/>
  <c r="A70" i="1" s="1"/>
  <c r="A72" i="1" s="1"/>
  <c r="A76" i="1" s="1"/>
  <c r="A77" i="1" s="1"/>
  <c r="A79" i="1" s="1"/>
  <c r="A81" i="1" s="1"/>
  <c r="A84" i="1" s="1"/>
  <c r="A88" i="1" s="1"/>
  <c r="A93" i="1" s="1"/>
  <c r="A94" i="1" s="1"/>
  <c r="A95" i="1" s="1"/>
  <c r="A96" i="1" s="1"/>
  <c r="T5" i="1" l="1"/>
  <c r="AC3" i="1"/>
  <c r="S4" i="1"/>
  <c r="Z4" i="1"/>
  <c r="AD4" i="1" s="1"/>
  <c r="V5" i="1"/>
  <c r="Y4" i="1"/>
  <c r="U5" i="1"/>
  <c r="AD5" i="1" l="1"/>
  <c r="T6" i="1"/>
  <c r="AC4" i="1"/>
  <c r="S5" i="1"/>
  <c r="Z5" i="1"/>
  <c r="V6" i="1"/>
  <c r="Y5" i="1"/>
  <c r="U6" i="1"/>
  <c r="T7" i="1" l="1"/>
  <c r="AC5" i="1"/>
  <c r="S6" i="1"/>
  <c r="Z6" i="1"/>
  <c r="AD6" i="1" s="1"/>
  <c r="V7" i="1"/>
  <c r="Y6" i="1"/>
  <c r="U7" i="1"/>
  <c r="T8" i="1" l="1"/>
  <c r="AC6" i="1"/>
  <c r="S7" i="1"/>
  <c r="Z7" i="1"/>
  <c r="AD7" i="1" s="1"/>
  <c r="V8" i="1"/>
  <c r="Y7" i="1"/>
  <c r="U8" i="1"/>
  <c r="T9" i="1" l="1"/>
  <c r="AC7" i="1"/>
  <c r="S8" i="1"/>
  <c r="Z8" i="1"/>
  <c r="AD8" i="1" s="1"/>
  <c r="V9" i="1"/>
  <c r="Y8" i="1"/>
  <c r="U9" i="1"/>
  <c r="T10" i="1" l="1"/>
  <c r="AC8" i="1"/>
  <c r="S9" i="1"/>
  <c r="Z9" i="1"/>
  <c r="AD9" i="1" s="1"/>
  <c r="V10" i="1"/>
  <c r="Y9" i="1"/>
  <c r="U10" i="1"/>
  <c r="T11" i="1" l="1"/>
  <c r="AC9" i="1"/>
  <c r="S10" i="1"/>
  <c r="Z10" i="1"/>
  <c r="AD10" i="1" s="1"/>
  <c r="V11" i="1"/>
  <c r="Y10" i="1"/>
  <c r="U11" i="1"/>
  <c r="T12" i="1" l="1"/>
  <c r="AC10" i="1"/>
  <c r="S11" i="1"/>
  <c r="Z11" i="1"/>
  <c r="AD11" i="1" s="1"/>
  <c r="V12" i="1"/>
  <c r="Y11" i="1"/>
  <c r="U12" i="1"/>
  <c r="T13" i="1" l="1"/>
  <c r="AC11" i="1"/>
  <c r="S12" i="1"/>
  <c r="Z12" i="1"/>
  <c r="AD12" i="1" s="1"/>
  <c r="V13" i="1"/>
  <c r="Y12" i="1"/>
  <c r="U13" i="1"/>
  <c r="T14" i="1" l="1"/>
  <c r="AC12" i="1"/>
  <c r="S13" i="1"/>
  <c r="Z13" i="1"/>
  <c r="AD13" i="1" s="1"/>
  <c r="V14" i="1"/>
  <c r="Y13" i="1"/>
  <c r="U14" i="1"/>
  <c r="T15" i="1" l="1"/>
  <c r="AC13" i="1"/>
  <c r="S14" i="1"/>
  <c r="Z14" i="1"/>
  <c r="AD14" i="1" s="1"/>
  <c r="V15" i="1"/>
  <c r="Y14" i="1"/>
  <c r="U15" i="1"/>
  <c r="T16" i="1" l="1"/>
  <c r="AC14" i="1"/>
  <c r="S15" i="1"/>
  <c r="Z15" i="1"/>
  <c r="AD15" i="1" s="1"/>
  <c r="V16" i="1"/>
  <c r="Y15" i="1"/>
  <c r="U16" i="1"/>
  <c r="T17" i="1" l="1"/>
  <c r="AC15" i="1"/>
  <c r="S16" i="1"/>
  <c r="Z16" i="1"/>
  <c r="AD16" i="1" s="1"/>
  <c r="V17" i="1"/>
  <c r="Y16" i="1"/>
  <c r="U17" i="1"/>
  <c r="T18" i="1" l="1"/>
  <c r="AC16" i="1"/>
  <c r="S17" i="1"/>
  <c r="Z17" i="1"/>
  <c r="AD17" i="1" s="1"/>
  <c r="V18" i="1"/>
  <c r="Y17" i="1"/>
  <c r="U18" i="1"/>
  <c r="T19" i="1" l="1"/>
  <c r="AC17" i="1"/>
  <c r="S18" i="1"/>
  <c r="Z18" i="1"/>
  <c r="AD18" i="1" s="1"/>
  <c r="V19" i="1"/>
  <c r="Y18" i="1"/>
  <c r="U19" i="1"/>
  <c r="T20" i="1" l="1"/>
  <c r="AC18" i="1"/>
  <c r="S19" i="1"/>
  <c r="Z19" i="1"/>
  <c r="AD19" i="1" s="1"/>
  <c r="V20" i="1"/>
  <c r="Y19" i="1"/>
  <c r="U20" i="1"/>
  <c r="T21" i="1" l="1"/>
  <c r="T22" i="1" s="1"/>
  <c r="T23" i="1" s="1"/>
  <c r="T24" i="1" s="1"/>
  <c r="T25" i="1" s="1"/>
  <c r="T26" i="1" s="1"/>
  <c r="T27" i="1" s="1"/>
  <c r="T28" i="1" s="1"/>
  <c r="T29" i="1" s="1"/>
  <c r="T30" i="1" s="1"/>
  <c r="AC19" i="1"/>
  <c r="S20" i="1"/>
  <c r="Z20" i="1"/>
  <c r="AD20" i="1" s="1"/>
  <c r="V21" i="1"/>
  <c r="Y20" i="1"/>
  <c r="U21" i="1"/>
  <c r="T31" i="1" l="1"/>
  <c r="AC20" i="1"/>
  <c r="S21" i="1"/>
  <c r="Z21" i="1"/>
  <c r="AD21" i="1" s="1"/>
  <c r="V22" i="1"/>
  <c r="Y21" i="1"/>
  <c r="U22" i="1"/>
  <c r="T32" i="1" l="1"/>
  <c r="AC21" i="1"/>
  <c r="S22" i="1"/>
  <c r="Z22" i="1"/>
  <c r="AD22" i="1" s="1"/>
  <c r="V23" i="1"/>
  <c r="Y22" i="1"/>
  <c r="U23" i="1"/>
  <c r="T33" i="1" l="1"/>
  <c r="AC22" i="1"/>
  <c r="S23" i="1"/>
  <c r="Z23" i="1"/>
  <c r="AD23" i="1" s="1"/>
  <c r="V24" i="1"/>
  <c r="Y23" i="1"/>
  <c r="U24" i="1"/>
  <c r="T34" i="1" l="1"/>
  <c r="AC23" i="1"/>
  <c r="S24" i="1"/>
  <c r="Z24" i="1"/>
  <c r="AD24" i="1" s="1"/>
  <c r="V25" i="1"/>
  <c r="Y24" i="1"/>
  <c r="U25" i="1"/>
  <c r="T35" i="1" l="1"/>
  <c r="AC24" i="1"/>
  <c r="S25" i="1"/>
  <c r="Z25" i="1"/>
  <c r="AD25" i="1" s="1"/>
  <c r="V26" i="1"/>
  <c r="Y25" i="1"/>
  <c r="U26" i="1"/>
  <c r="T36" i="1" l="1"/>
  <c r="AC25" i="1"/>
  <c r="S26" i="1"/>
  <c r="Z26" i="1"/>
  <c r="AD26" i="1" s="1"/>
  <c r="V27" i="1"/>
  <c r="Y26" i="1"/>
  <c r="U27" i="1"/>
  <c r="T37" i="1" l="1"/>
  <c r="AC26" i="1"/>
  <c r="S27" i="1"/>
  <c r="Z27" i="1"/>
  <c r="AD27" i="1" s="1"/>
  <c r="V28" i="1"/>
  <c r="Y27" i="1"/>
  <c r="U28" i="1"/>
  <c r="T38" i="1" l="1"/>
  <c r="AC27" i="1"/>
  <c r="S28" i="1"/>
  <c r="Z28" i="1"/>
  <c r="AD28" i="1" s="1"/>
  <c r="V29" i="1"/>
  <c r="Y28" i="1"/>
  <c r="U29" i="1"/>
  <c r="T39" i="1" l="1"/>
  <c r="AC28" i="1"/>
  <c r="S29" i="1"/>
  <c r="Z29" i="1"/>
  <c r="AD29" i="1" s="1"/>
  <c r="V30" i="1"/>
  <c r="Y29" i="1"/>
  <c r="U30" i="1"/>
  <c r="T40" i="1" l="1"/>
  <c r="AC29" i="1"/>
  <c r="S30" i="1"/>
  <c r="Z30" i="1"/>
  <c r="AD30" i="1" s="1"/>
  <c r="V31" i="1"/>
  <c r="Y30" i="1"/>
  <c r="U31" i="1"/>
  <c r="T41" i="1" l="1"/>
  <c r="AC30" i="1"/>
  <c r="S31" i="1"/>
  <c r="Z31" i="1"/>
  <c r="AD31" i="1" s="1"/>
  <c r="V32" i="1"/>
  <c r="Y31" i="1"/>
  <c r="U32" i="1"/>
  <c r="T42" i="1" l="1"/>
  <c r="AC31" i="1"/>
  <c r="S32" i="1"/>
  <c r="Z32" i="1"/>
  <c r="AD32" i="1" s="1"/>
  <c r="V33" i="1"/>
  <c r="Y32" i="1"/>
  <c r="U33" i="1"/>
  <c r="T43" i="1" l="1"/>
  <c r="AC32" i="1"/>
  <c r="S33" i="1"/>
  <c r="Z33" i="1"/>
  <c r="AD33" i="1" s="1"/>
  <c r="V34" i="1"/>
  <c r="Y33" i="1"/>
  <c r="U34" i="1"/>
  <c r="T44" i="1" l="1"/>
  <c r="AC33" i="1"/>
  <c r="S34" i="1"/>
  <c r="Z34" i="1"/>
  <c r="AD34" i="1" s="1"/>
  <c r="V35" i="1"/>
  <c r="Y34" i="1"/>
  <c r="U35" i="1"/>
  <c r="T45" i="1" l="1"/>
  <c r="AC34" i="1"/>
  <c r="S35" i="1"/>
  <c r="Z35" i="1"/>
  <c r="AD35" i="1" s="1"/>
  <c r="V36" i="1"/>
  <c r="Y35" i="1"/>
  <c r="U36" i="1"/>
  <c r="T46" i="1" l="1"/>
  <c r="AC35" i="1"/>
  <c r="S36" i="1"/>
  <c r="Z36" i="1"/>
  <c r="AD36" i="1" s="1"/>
  <c r="V37" i="1"/>
  <c r="Y36" i="1"/>
  <c r="U37" i="1"/>
  <c r="T47" i="1" l="1"/>
  <c r="AC36" i="1"/>
  <c r="S37" i="1"/>
  <c r="Z37" i="1"/>
  <c r="AD37" i="1" s="1"/>
  <c r="V38" i="1"/>
  <c r="Y37" i="1"/>
  <c r="U38" i="1"/>
  <c r="T48" i="1" l="1"/>
  <c r="AC37" i="1"/>
  <c r="S38" i="1"/>
  <c r="Z38" i="1"/>
  <c r="AD38" i="1" s="1"/>
  <c r="V39" i="1"/>
  <c r="Y38" i="1"/>
  <c r="U39" i="1"/>
  <c r="T49" i="1" l="1"/>
  <c r="AC38" i="1"/>
  <c r="S39" i="1"/>
  <c r="Z39" i="1"/>
  <c r="AD39" i="1" s="1"/>
  <c r="V40" i="1"/>
  <c r="Y39" i="1"/>
  <c r="U40" i="1"/>
  <c r="T50" i="1" l="1"/>
  <c r="AC39" i="1"/>
  <c r="S40" i="1"/>
  <c r="Z40" i="1"/>
  <c r="AD40" i="1" s="1"/>
  <c r="V41" i="1"/>
  <c r="Y40" i="1"/>
  <c r="U41" i="1"/>
  <c r="T51" i="1" l="1"/>
  <c r="AC40" i="1"/>
  <c r="S41" i="1"/>
  <c r="Z41" i="1"/>
  <c r="AD41" i="1" s="1"/>
  <c r="V42" i="1"/>
  <c r="Y41" i="1"/>
  <c r="U42" i="1"/>
  <c r="T52" i="1" l="1"/>
  <c r="AC41" i="1"/>
  <c r="S42" i="1"/>
  <c r="Z42" i="1"/>
  <c r="AD42" i="1" s="1"/>
  <c r="V43" i="1"/>
  <c r="Y42" i="1"/>
  <c r="U43" i="1"/>
  <c r="T53" i="1" l="1"/>
  <c r="AC42" i="1"/>
  <c r="S43" i="1"/>
  <c r="Z43" i="1"/>
  <c r="AD43" i="1" s="1"/>
  <c r="V44" i="1"/>
  <c r="Y43" i="1"/>
  <c r="U44" i="1"/>
  <c r="T54" i="1" l="1"/>
  <c r="AC43" i="1"/>
  <c r="S44" i="1"/>
  <c r="Z44" i="1"/>
  <c r="AD44" i="1" s="1"/>
  <c r="V45" i="1"/>
  <c r="Y44" i="1"/>
  <c r="U45" i="1"/>
  <c r="T55" i="1" l="1"/>
  <c r="AC44" i="1"/>
  <c r="S45" i="1"/>
  <c r="Z45" i="1"/>
  <c r="AD45" i="1" s="1"/>
  <c r="V46" i="1"/>
  <c r="Y45" i="1"/>
  <c r="U46" i="1"/>
  <c r="T56" i="1" l="1"/>
  <c r="AC45" i="1"/>
  <c r="S46" i="1"/>
  <c r="Z46" i="1"/>
  <c r="AD46" i="1" s="1"/>
  <c r="V47" i="1"/>
  <c r="Y46" i="1"/>
  <c r="U47" i="1"/>
  <c r="T57" i="1" l="1"/>
  <c r="AC46" i="1"/>
  <c r="S47" i="1"/>
  <c r="Z47" i="1"/>
  <c r="AD47" i="1" s="1"/>
  <c r="V48" i="1"/>
  <c r="Y47" i="1"/>
  <c r="U48" i="1"/>
  <c r="T58" i="1" l="1"/>
  <c r="AC47" i="1"/>
  <c r="S48" i="1"/>
  <c r="Z48" i="1"/>
  <c r="AD48" i="1" s="1"/>
  <c r="V49" i="1"/>
  <c r="Y48" i="1"/>
  <c r="U49" i="1"/>
  <c r="T59" i="1" l="1"/>
  <c r="AC48" i="1"/>
  <c r="S49" i="1"/>
  <c r="Z49" i="1"/>
  <c r="AD49" i="1" s="1"/>
  <c r="V50" i="1"/>
  <c r="Y49" i="1"/>
  <c r="U50" i="1"/>
  <c r="T60" i="1" l="1"/>
  <c r="AC49" i="1"/>
  <c r="S50" i="1"/>
  <c r="Z50" i="1"/>
  <c r="AD50" i="1" s="1"/>
  <c r="V51" i="1"/>
  <c r="Y50" i="1"/>
  <c r="U51" i="1"/>
  <c r="T61" i="1" l="1"/>
  <c r="AC50" i="1"/>
  <c r="S51" i="1"/>
  <c r="Z51" i="1"/>
  <c r="AD51" i="1" s="1"/>
  <c r="V52" i="1"/>
  <c r="Y51" i="1"/>
  <c r="U52" i="1"/>
  <c r="T62" i="1" l="1"/>
  <c r="AC51" i="1"/>
  <c r="S52" i="1"/>
  <c r="Z52" i="1"/>
  <c r="AD52" i="1" s="1"/>
  <c r="V53" i="1"/>
  <c r="Y52" i="1"/>
  <c r="U53" i="1"/>
  <c r="T63" i="1" l="1"/>
  <c r="AC52" i="1"/>
  <c r="S53" i="1"/>
  <c r="Z53" i="1"/>
  <c r="AD53" i="1" s="1"/>
  <c r="V54" i="1"/>
  <c r="Y53" i="1"/>
  <c r="U54" i="1"/>
  <c r="T64" i="1" l="1"/>
  <c r="AC53" i="1"/>
  <c r="S54" i="1"/>
  <c r="Z54" i="1"/>
  <c r="AD54" i="1" s="1"/>
  <c r="V55" i="1"/>
  <c r="Y54" i="1"/>
  <c r="U55" i="1"/>
  <c r="T65" i="1" l="1"/>
  <c r="AC54" i="1"/>
  <c r="S55" i="1"/>
  <c r="Z55" i="1"/>
  <c r="AD55" i="1" s="1"/>
  <c r="V56" i="1"/>
  <c r="Y55" i="1"/>
  <c r="U56" i="1"/>
  <c r="T66" i="1" l="1"/>
  <c r="AC55" i="1"/>
  <c r="S56" i="1"/>
  <c r="Z56" i="1"/>
  <c r="AD56" i="1" s="1"/>
  <c r="V57" i="1"/>
  <c r="Y56" i="1"/>
  <c r="U57" i="1"/>
  <c r="T67" i="1" l="1"/>
  <c r="AC56" i="1"/>
  <c r="S57" i="1"/>
  <c r="Z57" i="1"/>
  <c r="AD57" i="1" s="1"/>
  <c r="V58" i="1"/>
  <c r="Y57" i="1"/>
  <c r="U58" i="1"/>
  <c r="T68" i="1" l="1"/>
  <c r="AC57" i="1"/>
  <c r="S58" i="1"/>
  <c r="Z58" i="1"/>
  <c r="AD58" i="1" s="1"/>
  <c r="V59" i="1"/>
  <c r="Y58" i="1"/>
  <c r="U59" i="1"/>
  <c r="T69" i="1" l="1"/>
  <c r="AC58" i="1"/>
  <c r="S59" i="1"/>
  <c r="Z59" i="1"/>
  <c r="AD59" i="1" s="1"/>
  <c r="V60" i="1"/>
  <c r="Y59" i="1"/>
  <c r="U60" i="1"/>
  <c r="T70" i="1" l="1"/>
  <c r="AC59" i="1"/>
  <c r="S60" i="1"/>
  <c r="Z60" i="1"/>
  <c r="AD60" i="1" s="1"/>
  <c r="V61" i="1"/>
  <c r="Y60" i="1"/>
  <c r="U61" i="1"/>
  <c r="T71" i="1" l="1"/>
  <c r="AC60" i="1"/>
  <c r="S61" i="1"/>
  <c r="Z61" i="1"/>
  <c r="AD61" i="1" s="1"/>
  <c r="V62" i="1"/>
  <c r="Y61" i="1"/>
  <c r="U62" i="1"/>
  <c r="T72" i="1" l="1"/>
  <c r="AC61" i="1"/>
  <c r="S62" i="1"/>
  <c r="Z62" i="1"/>
  <c r="AD62" i="1" s="1"/>
  <c r="V63" i="1"/>
  <c r="Y62" i="1"/>
  <c r="U63" i="1"/>
  <c r="T73" i="1" l="1"/>
  <c r="AC62" i="1"/>
  <c r="S63" i="1"/>
  <c r="Z63" i="1"/>
  <c r="AD63" i="1" s="1"/>
  <c r="V64" i="1"/>
  <c r="Y63" i="1"/>
  <c r="U64" i="1"/>
  <c r="T74" i="1" l="1"/>
  <c r="AC63" i="1"/>
  <c r="S64" i="1"/>
  <c r="Z64" i="1"/>
  <c r="AD64" i="1" s="1"/>
  <c r="AH64" i="1" s="1"/>
  <c r="V65" i="1"/>
  <c r="Y64" i="1"/>
  <c r="U65" i="1"/>
  <c r="T75" i="1" l="1"/>
  <c r="AC64" i="1"/>
  <c r="AG64" i="1" s="1"/>
  <c r="S65" i="1"/>
  <c r="Z65" i="1"/>
  <c r="AD65" i="1" s="1"/>
  <c r="V66" i="1"/>
  <c r="Y65" i="1"/>
  <c r="U66" i="1"/>
  <c r="T76" i="1" l="1"/>
  <c r="AC65" i="1"/>
  <c r="S66" i="1"/>
  <c r="Z66" i="1"/>
  <c r="AD66" i="1" s="1"/>
  <c r="V67" i="1"/>
  <c r="Y66" i="1"/>
  <c r="U67" i="1"/>
  <c r="T77" i="1" l="1"/>
  <c r="AC66" i="1"/>
  <c r="S67" i="1"/>
  <c r="Z67" i="1"/>
  <c r="AD67" i="1" s="1"/>
  <c r="V68" i="1"/>
  <c r="Y67" i="1"/>
  <c r="U68" i="1"/>
  <c r="T78" i="1" l="1"/>
  <c r="AC67" i="1"/>
  <c r="S68" i="1"/>
  <c r="Z68" i="1"/>
  <c r="AD68" i="1" s="1"/>
  <c r="V69" i="1"/>
  <c r="Y68" i="1"/>
  <c r="U69" i="1"/>
  <c r="T79" i="1" l="1"/>
  <c r="AC68" i="1"/>
  <c r="S69" i="1"/>
  <c r="Z69" i="1"/>
  <c r="AD69" i="1" s="1"/>
  <c r="V70" i="1"/>
  <c r="Y69" i="1"/>
  <c r="U70" i="1"/>
  <c r="T80" i="1" l="1"/>
  <c r="AC69" i="1"/>
  <c r="S70" i="1"/>
  <c r="Z70" i="1"/>
  <c r="AD70" i="1" s="1"/>
  <c r="V71" i="1"/>
  <c r="Y70" i="1"/>
  <c r="U71" i="1"/>
  <c r="T81" i="1" l="1"/>
  <c r="AC70" i="1"/>
  <c r="S71" i="1"/>
  <c r="Z71" i="1"/>
  <c r="AD71" i="1" s="1"/>
  <c r="V72" i="1"/>
  <c r="Y71" i="1"/>
  <c r="U72" i="1"/>
  <c r="T82" i="1" l="1"/>
  <c r="AC71" i="1"/>
  <c r="S72" i="1"/>
  <c r="Z72" i="1"/>
  <c r="AD72" i="1" s="1"/>
  <c r="V73" i="1"/>
  <c r="Y72" i="1"/>
  <c r="U73" i="1"/>
  <c r="T83" i="1" l="1"/>
  <c r="AC72" i="1"/>
  <c r="S73" i="1"/>
  <c r="Z73" i="1"/>
  <c r="AD73" i="1" s="1"/>
  <c r="V74" i="1"/>
  <c r="Y73" i="1"/>
  <c r="U74" i="1"/>
  <c r="T84" i="1" l="1"/>
  <c r="AC73" i="1"/>
  <c r="S74" i="1"/>
  <c r="Z74" i="1"/>
  <c r="AD74" i="1" s="1"/>
  <c r="V75" i="1"/>
  <c r="Y74" i="1"/>
  <c r="U75" i="1"/>
  <c r="T85" i="1" l="1"/>
  <c r="AC74" i="1"/>
  <c r="S75" i="1"/>
  <c r="Z75" i="1"/>
  <c r="AD75" i="1" s="1"/>
  <c r="V76" i="1"/>
  <c r="Y75" i="1"/>
  <c r="U76" i="1"/>
  <c r="T86" i="1" l="1"/>
  <c r="AC75" i="1"/>
  <c r="S76" i="1"/>
  <c r="Z76" i="1"/>
  <c r="AD76" i="1" s="1"/>
  <c r="V77" i="1"/>
  <c r="Y76" i="1"/>
  <c r="U77" i="1"/>
  <c r="T87" i="1" l="1"/>
  <c r="AC76" i="1"/>
  <c r="S77" i="1"/>
  <c r="Z77" i="1"/>
  <c r="AD77" i="1" s="1"/>
  <c r="V78" i="1"/>
  <c r="Y77" i="1"/>
  <c r="U78" i="1"/>
  <c r="T88" i="1" l="1"/>
  <c r="AC77" i="1"/>
  <c r="S78" i="1"/>
  <c r="Z78" i="1"/>
  <c r="AD78" i="1" s="1"/>
  <c r="AH78" i="1" s="1"/>
  <c r="V79" i="1"/>
  <c r="Y78" i="1"/>
  <c r="U79" i="1"/>
  <c r="T89" i="1" l="1"/>
  <c r="AC78" i="1"/>
  <c r="AG78" i="1" s="1"/>
  <c r="S79" i="1"/>
  <c r="Z79" i="1"/>
  <c r="AD79" i="1" s="1"/>
  <c r="V80" i="1"/>
  <c r="Y79" i="1"/>
  <c r="U80" i="1"/>
  <c r="T90" i="1" l="1"/>
  <c r="AC79" i="1"/>
  <c r="S80" i="1"/>
  <c r="Z80" i="1"/>
  <c r="AD80" i="1" s="1"/>
  <c r="V81" i="1"/>
  <c r="Y80" i="1"/>
  <c r="U81" i="1"/>
  <c r="T91" i="1" l="1"/>
  <c r="AC80" i="1"/>
  <c r="S81" i="1"/>
  <c r="Z81" i="1"/>
  <c r="AD81" i="1" s="1"/>
  <c r="V82" i="1"/>
  <c r="Y81" i="1"/>
  <c r="U82" i="1"/>
  <c r="T92" i="1" l="1"/>
  <c r="AC81" i="1"/>
  <c r="S82" i="1"/>
  <c r="Z82" i="1"/>
  <c r="AD82" i="1" s="1"/>
  <c r="V83" i="1"/>
  <c r="Y82" i="1"/>
  <c r="U83" i="1"/>
  <c r="T93" i="1" l="1"/>
  <c r="AC82" i="1"/>
  <c r="S83" i="1"/>
  <c r="Z83" i="1"/>
  <c r="AD83" i="1" s="1"/>
  <c r="V84" i="1"/>
  <c r="Y83" i="1"/>
  <c r="U84" i="1"/>
  <c r="T94" i="1" l="1"/>
  <c r="AC83" i="1"/>
  <c r="S84" i="1"/>
  <c r="Z84" i="1"/>
  <c r="AD84" i="1" s="1"/>
  <c r="V85" i="1"/>
  <c r="Y84" i="1"/>
  <c r="U85" i="1"/>
  <c r="T95" i="1" l="1"/>
  <c r="AC84" i="1"/>
  <c r="S85" i="1"/>
  <c r="Z85" i="1"/>
  <c r="AD85" i="1" s="1"/>
  <c r="V86" i="1"/>
  <c r="Y85" i="1"/>
  <c r="U86" i="1"/>
  <c r="T96" i="1" l="1"/>
  <c r="AC85" i="1"/>
  <c r="S86" i="1"/>
  <c r="Z86" i="1"/>
  <c r="AD86" i="1" s="1"/>
  <c r="V87" i="1"/>
  <c r="Y86" i="1"/>
  <c r="U87" i="1"/>
  <c r="AC86" i="1" l="1"/>
  <c r="S87" i="1"/>
  <c r="Z87" i="1"/>
  <c r="AD87" i="1" s="1"/>
  <c r="AH87" i="1" s="1"/>
  <c r="V88" i="1"/>
  <c r="Y87" i="1"/>
  <c r="U88" i="1"/>
  <c r="AC87" i="1" l="1"/>
  <c r="AG87" i="1" s="1"/>
  <c r="S88" i="1"/>
  <c r="Z88" i="1"/>
  <c r="AD88" i="1" s="1"/>
  <c r="V89" i="1"/>
  <c r="Y88" i="1"/>
  <c r="U89" i="1"/>
  <c r="AC88" i="1" l="1"/>
  <c r="S89" i="1"/>
  <c r="Z89" i="1"/>
  <c r="AD89" i="1" s="1"/>
  <c r="V90" i="1"/>
  <c r="Y89" i="1"/>
  <c r="U90" i="1"/>
  <c r="AC89" i="1" l="1"/>
  <c r="S90" i="1"/>
  <c r="Z90" i="1"/>
  <c r="AD90" i="1" s="1"/>
  <c r="V91" i="1"/>
  <c r="Y90" i="1"/>
  <c r="U91" i="1"/>
  <c r="AC90" i="1" l="1"/>
  <c r="S91" i="1"/>
  <c r="Z91" i="1"/>
  <c r="AD91" i="1" s="1"/>
  <c r="V92" i="1"/>
  <c r="Y91" i="1"/>
  <c r="U92" i="1"/>
  <c r="AC91" i="1" l="1"/>
  <c r="S92" i="1"/>
  <c r="Z92" i="1"/>
  <c r="AD92" i="1" s="1"/>
  <c r="AH92" i="1" s="1"/>
  <c r="V93" i="1"/>
  <c r="Y92" i="1"/>
  <c r="U93" i="1"/>
  <c r="AC92" i="1" l="1"/>
  <c r="AG92" i="1" s="1"/>
  <c r="S93" i="1"/>
  <c r="Z93" i="1"/>
  <c r="AD93" i="1" s="1"/>
  <c r="V94" i="1"/>
  <c r="Y93" i="1"/>
  <c r="U94" i="1"/>
  <c r="AC93" i="1" l="1"/>
  <c r="S94" i="1"/>
  <c r="Z94" i="1"/>
  <c r="AD94" i="1" s="1"/>
  <c r="V95" i="1"/>
  <c r="Y94" i="1"/>
  <c r="U95" i="1"/>
  <c r="AC94" i="1" l="1"/>
  <c r="S95" i="1"/>
  <c r="Z95" i="1"/>
  <c r="AD95" i="1" s="1"/>
  <c r="V96" i="1"/>
  <c r="Z96" i="1" s="1"/>
  <c r="AD96" i="1" s="1"/>
  <c r="Y95" i="1"/>
  <c r="U96" i="1"/>
  <c r="Y96" i="1" s="1"/>
  <c r="AC95" i="1" l="1"/>
  <c r="S96" i="1"/>
  <c r="AC9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shaka abrisam</author>
  </authors>
  <commentList>
    <comment ref="AF78" authorId="0" shapeId="0" xr:uid="{2EB1D3AC-9087-4B55-AFE4-EA95ABF485D4}">
      <text>
        <r>
          <rPr>
            <b/>
            <sz val="9"/>
            <color indexed="81"/>
            <rFont val="Tahoma"/>
            <family val="2"/>
          </rPr>
          <t>shaka abrisam:</t>
        </r>
        <r>
          <rPr>
            <sz val="9"/>
            <color indexed="81"/>
            <rFont val="Tahoma"/>
            <family val="2"/>
          </rPr>
          <t xml:space="preserve">
Cek Opname mulai dari tanggal 15 Mei - 21 Juni '26
Penyusutan = 18,7 : 37 = 0,505/hr</t>
        </r>
      </text>
    </comment>
  </commentList>
</comments>
</file>

<file path=xl/sharedStrings.xml><?xml version="1.0" encoding="utf-8"?>
<sst xmlns="http://schemas.openxmlformats.org/spreadsheetml/2006/main" count="36" uniqueCount="36">
  <si>
    <t>Total Pendapatan</t>
  </si>
  <si>
    <t>TGL</t>
  </si>
  <si>
    <t>Jual Normal (Butir)</t>
  </si>
  <si>
    <t>Jual Normal (Kilo)</t>
  </si>
  <si>
    <t>Harga Normal per kilo</t>
  </si>
  <si>
    <t>Jual Crem (Butir)</t>
  </si>
  <si>
    <t>Jual Crem (Kilo)</t>
  </si>
  <si>
    <t>Harga Crem per kilo</t>
  </si>
  <si>
    <t>Jual Retak (Butir)</t>
  </si>
  <si>
    <t>Jual Retak (Kilo)</t>
  </si>
  <si>
    <t>Harga Retak per kilo</t>
  </si>
  <si>
    <t>Dibuang (Butir)</t>
  </si>
  <si>
    <t>Dibuang (Kilo)</t>
  </si>
  <si>
    <t>Audit (Butir)</t>
  </si>
  <si>
    <t>Audit (Kilo)</t>
  </si>
  <si>
    <t>Harga Pasar</t>
  </si>
  <si>
    <t>Abnormal (btr)</t>
  </si>
  <si>
    <t>Abnormal (kg)</t>
  </si>
  <si>
    <t>Sisa Normal (btr)</t>
  </si>
  <si>
    <t>Sisa Normal (kg)</t>
  </si>
  <si>
    <t>Sisa Crem (btr)</t>
  </si>
  <si>
    <t>Sisa Crem (kg)</t>
  </si>
  <si>
    <t>Sisa Retak (btr)</t>
  </si>
  <si>
    <t>Sisa Retak (kg)</t>
  </si>
  <si>
    <t>Prod. Crem (btr)</t>
  </si>
  <si>
    <t>Prod. Crem (kg)</t>
  </si>
  <si>
    <t>Prod. TTL (Btr)</t>
  </si>
  <si>
    <t>Prod. TTL (Kg)</t>
  </si>
  <si>
    <t>Prod. Rtk (Kg)</t>
  </si>
  <si>
    <t>Prod. Rtk (btr)</t>
  </si>
  <si>
    <t>Prod.  Normal (Kg)</t>
  </si>
  <si>
    <t>Prod. Normal (btr)</t>
  </si>
  <si>
    <t>Sisa Akhir (kg)</t>
  </si>
  <si>
    <t>Sisa Akhir (btr)</t>
  </si>
  <si>
    <t>Susut (btr)</t>
  </si>
  <si>
    <t>Susut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</si>
</sst>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3" formatCode="_-* #,##0.00_-;\-* #,##0.00_-;_-* &quot;-&quot;??_-;_-@_-"/>
    <numFmt numFmtId="164" formatCode="[$-13809]dd/mm/yyyy;@"/>
    <numFmt numFmtId="165" formatCode="_-* #,##0_-;\-* #,##0_-;_-* &quot;-&quot;??_-;_-@_-"/>
    <numFmt numFmtId="166" formatCode="_-* #,##0.0_-;\-* #,##0.0_-;_-* &quot;-&quot;??_-;_-@_-"/>
    <numFmt numFmtId="167" formatCode="_-[$Rp-421]* #,##0_-;\-[$Rp-421]* #,##0_-;_-[$Rp-421]* &quot;-&quot;_-;_-@_-"/>
    <numFmt numFmtId="168" formatCode="0.0"/>
    <numFmt numFmtId="169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tted">
        <color rgb="FF3F3F3F"/>
      </right>
      <top style="thin">
        <color rgb="FF3F3F3F"/>
      </top>
      <bottom style="thin">
        <color rgb="FF3F3F3F"/>
      </bottom>
      <diagonal/>
    </border>
    <border>
      <left style="dotted">
        <color rgb="FF3F3F3F"/>
      </left>
      <right style="dotted">
        <color rgb="FF3F3F3F"/>
      </right>
      <top style="thin">
        <color rgb="FF3F3F3F"/>
      </top>
      <bottom style="thin">
        <color rgb="FF3F3F3F"/>
      </bottom>
      <diagonal/>
    </border>
    <border>
      <left style="dotted">
        <color rgb="FF3F3F3F"/>
      </left>
      <right/>
      <top style="thin">
        <color rgb="FF3F3F3F"/>
      </top>
      <bottom style="thin">
        <color rgb="FF3F3F3F"/>
      </bottom>
      <diagonal/>
    </border>
    <border>
      <left style="dotted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dotted">
        <color rgb="FF3F3F3F"/>
      </right>
      <top style="thin">
        <color rgb="FF3F3F3F"/>
      </top>
      <bottom style="hair">
        <color rgb="FF3F3F3F"/>
      </bottom>
      <diagonal/>
    </border>
    <border>
      <left style="dotted">
        <color rgb="FF3F3F3F"/>
      </left>
      <right style="dotted">
        <color rgb="FF3F3F3F"/>
      </right>
      <top style="thin">
        <color rgb="FF3F3F3F"/>
      </top>
      <bottom style="hair">
        <color rgb="FF3F3F3F"/>
      </bottom>
      <diagonal/>
    </border>
    <border>
      <left style="dotted">
        <color rgb="FF3F3F3F"/>
      </left>
      <right style="thin">
        <color rgb="FF3F3F3F"/>
      </right>
      <top style="thin">
        <color rgb="FF3F3F3F"/>
      </top>
      <bottom style="hair">
        <color rgb="FF3F3F3F"/>
      </bottom>
      <diagonal/>
    </border>
    <border>
      <left/>
      <right style="dotted">
        <color rgb="FF3F3F3F"/>
      </right>
      <top style="thin">
        <color rgb="FF3F3F3F"/>
      </top>
      <bottom/>
      <diagonal/>
    </border>
    <border>
      <left style="dotted">
        <color rgb="FF3F3F3F"/>
      </left>
      <right style="dotted">
        <color rgb="FF3F3F3F"/>
      </right>
      <top style="thin">
        <color rgb="FF3F3F3F"/>
      </top>
      <bottom/>
      <diagonal/>
    </border>
    <border>
      <left style="dotted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dotted">
        <color rgb="FF3F3F3F"/>
      </right>
      <top/>
      <bottom style="hair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hair">
        <color rgb="FF3F3F3F"/>
      </bottom>
      <diagonal/>
    </border>
    <border>
      <left/>
      <right style="dotted">
        <color rgb="FF3F3F3F"/>
      </right>
      <top style="thin">
        <color rgb="FF3F3F3F"/>
      </top>
      <bottom style="hair">
        <color rgb="FF3F3F3F"/>
      </bottom>
      <diagonal/>
    </border>
    <border>
      <left/>
      <right style="thin">
        <color rgb="FF3F3F3F"/>
      </right>
      <top/>
      <bottom style="hair">
        <color rgb="FF3F3F3F"/>
      </bottom>
      <diagonal/>
    </border>
    <border>
      <left style="dotted">
        <color rgb="FF3F3F3F"/>
      </left>
      <right style="thin">
        <color rgb="FF3F3F3F"/>
      </right>
      <top/>
      <bottom style="hair">
        <color rgb="FF3F3F3F"/>
      </bottom>
      <diagonal/>
    </border>
    <border>
      <left style="thin">
        <color rgb="FF3F3F3F"/>
      </left>
      <right style="dotted">
        <color rgb="FF3F3F3F"/>
      </right>
      <top style="hair">
        <color rgb="FF3F3F3F"/>
      </top>
      <bottom style="hair">
        <color rgb="FF3F3F3F"/>
      </bottom>
      <diagonal/>
    </border>
    <border>
      <left style="dotted">
        <color rgb="FF3F3F3F"/>
      </left>
      <right style="dotted">
        <color rgb="FF3F3F3F"/>
      </right>
      <top style="hair">
        <color rgb="FF3F3F3F"/>
      </top>
      <bottom style="hair">
        <color rgb="FF3F3F3F"/>
      </bottom>
      <diagonal/>
    </border>
    <border>
      <left style="thin">
        <color rgb="FF3F3F3F"/>
      </left>
      <right style="thin">
        <color rgb="FF3F3F3F"/>
      </right>
      <top style="hair">
        <color rgb="FF3F3F3F"/>
      </top>
      <bottom style="hair">
        <color rgb="FF3F3F3F"/>
      </bottom>
      <diagonal/>
    </border>
    <border>
      <left/>
      <right style="dotted">
        <color rgb="FF3F3F3F"/>
      </right>
      <top style="hair">
        <color rgb="FF3F3F3F"/>
      </top>
      <bottom style="hair">
        <color rgb="FF3F3F3F"/>
      </bottom>
      <diagonal/>
    </border>
    <border>
      <left style="dotted">
        <color rgb="FF3F3F3F"/>
      </left>
      <right style="thin">
        <color rgb="FF3F3F3F"/>
      </right>
      <top style="hair">
        <color rgb="FF3F3F3F"/>
      </top>
      <bottom style="hair">
        <color rgb="FF3F3F3F"/>
      </bottom>
      <diagonal/>
    </border>
    <border>
      <left style="thin">
        <color rgb="FF3F3F3F"/>
      </left>
      <right style="dotted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" fillId="2" borderId="1" applyNumberFormat="0" applyAlignment="0" applyProtection="0"/>
    <xf numFmtId="169" fontId="3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>
      <alignment horizontal="center"/>
    </xf>
    <xf numFmtId="42" fontId="2" fillId="0" borderId="0" xfId="0" applyNumberFormat="1" applyFont="1" applyAlignment="1">
      <alignment horizontal="center"/>
    </xf>
    <xf numFmtId="3" fontId="2" fillId="6" borderId="3" xfId="2" applyNumberFormat="1" applyFont="1" applyFill="1" applyBorder="1" applyAlignment="1">
      <alignment horizontal="center" vertical="top" wrapText="1"/>
    </xf>
    <xf numFmtId="168" fontId="2" fillId="6" borderId="3" xfId="2" applyNumberFormat="1" applyFont="1" applyFill="1" applyBorder="1" applyAlignment="1">
      <alignment horizontal="center" vertical="top" wrapText="1"/>
    </xf>
    <xf numFmtId="3" fontId="2" fillId="4" borderId="2" xfId="2" applyNumberFormat="1" applyFont="1" applyFill="1" applyBorder="1" applyAlignment="1">
      <alignment horizontal="center" vertical="top" wrapText="1"/>
    </xf>
    <xf numFmtId="43" fontId="2" fillId="4" borderId="5" xfId="2" applyNumberFormat="1" applyFont="1" applyFill="1" applyBorder="1" applyAlignment="1">
      <alignment horizontal="center" vertical="top" wrapText="1"/>
    </xf>
    <xf numFmtId="164" fontId="2" fillId="0" borderId="6" xfId="2" applyNumberFormat="1" applyFont="1" applyFill="1" applyBorder="1" applyAlignment="1">
      <alignment horizontal="center" vertical="center" wrapText="1"/>
    </xf>
    <xf numFmtId="43" fontId="2" fillId="3" borderId="12" xfId="1" applyFont="1" applyFill="1" applyBorder="1" applyAlignment="1">
      <alignment horizontal="center" vertical="top" wrapText="1"/>
    </xf>
    <xf numFmtId="42" fontId="2" fillId="7" borderId="6" xfId="2" applyNumberFormat="1" applyFont="1" applyFill="1" applyBorder="1" applyAlignment="1">
      <alignment horizontal="center" vertical="center" wrapText="1"/>
    </xf>
    <xf numFmtId="167" fontId="2" fillId="5" borderId="6" xfId="2" applyNumberFormat="1" applyFont="1" applyFill="1" applyBorder="1" applyAlignment="1">
      <alignment horizontal="center" vertical="center" wrapText="1"/>
    </xf>
    <xf numFmtId="164" fontId="4" fillId="0" borderId="14" xfId="2" applyNumberFormat="1" applyFont="1" applyFill="1" applyBorder="1"/>
    <xf numFmtId="43" fontId="5" fillId="0" borderId="8" xfId="1" applyFont="1" applyFill="1" applyBorder="1"/>
    <xf numFmtId="165" fontId="5" fillId="0" borderId="8" xfId="1" applyNumberFormat="1" applyFont="1" applyFill="1" applyBorder="1"/>
    <xf numFmtId="165" fontId="4" fillId="0" borderId="8" xfId="1" applyNumberFormat="1" applyFont="1" applyFill="1" applyBorder="1"/>
    <xf numFmtId="166" fontId="4" fillId="0" borderId="8" xfId="1" applyNumberFormat="1" applyFont="1" applyFill="1" applyBorder="1"/>
    <xf numFmtId="43" fontId="4" fillId="3" borderId="9" xfId="1" applyFont="1" applyFill="1" applyBorder="1"/>
    <xf numFmtId="166" fontId="4" fillId="0" borderId="8" xfId="1" applyNumberFormat="1" applyFont="1" applyBorder="1"/>
    <xf numFmtId="165" fontId="4" fillId="0" borderId="8" xfId="1" applyNumberFormat="1" applyFont="1" applyBorder="1"/>
    <xf numFmtId="3" fontId="4" fillId="6" borderId="8" xfId="1" applyNumberFormat="1" applyFont="1" applyFill="1" applyBorder="1"/>
    <xf numFmtId="168" fontId="4" fillId="6" borderId="8" xfId="1" applyNumberFormat="1" applyFont="1" applyFill="1" applyBorder="1"/>
    <xf numFmtId="3" fontId="4" fillId="4" borderId="13" xfId="2" applyNumberFormat="1" applyFont="1" applyFill="1" applyBorder="1"/>
    <xf numFmtId="43" fontId="4" fillId="4" borderId="16" xfId="2" applyNumberFormat="1" applyFont="1" applyFill="1" applyBorder="1"/>
    <xf numFmtId="43" fontId="4" fillId="4" borderId="13" xfId="2" applyNumberFormat="1" applyFont="1" applyFill="1" applyBorder="1"/>
    <xf numFmtId="43" fontId="4" fillId="4" borderId="17" xfId="2" applyNumberFormat="1" applyFont="1" applyFill="1" applyBorder="1"/>
    <xf numFmtId="165" fontId="4" fillId="0" borderId="19" xfId="1" applyNumberFormat="1" applyFont="1" applyBorder="1"/>
    <xf numFmtId="42" fontId="4" fillId="0" borderId="14" xfId="1" applyNumberFormat="1" applyFont="1" applyBorder="1"/>
    <xf numFmtId="167" fontId="4" fillId="5" borderId="14" xfId="2" applyNumberFormat="1" applyFont="1" applyFill="1" applyBorder="1"/>
    <xf numFmtId="0" fontId="4" fillId="0" borderId="0" xfId="0" applyFont="1"/>
    <xf numFmtId="42" fontId="4" fillId="0" borderId="0" xfId="0" applyNumberFormat="1" applyFont="1"/>
    <xf numFmtId="164" fontId="4" fillId="0" borderId="20" xfId="2" applyNumberFormat="1" applyFont="1" applyFill="1" applyBorder="1"/>
    <xf numFmtId="43" fontId="4" fillId="0" borderId="19" xfId="1" applyFont="1" applyFill="1" applyBorder="1"/>
    <xf numFmtId="165" fontId="4" fillId="0" borderId="19" xfId="1" applyNumberFormat="1" applyFont="1" applyFill="1" applyBorder="1"/>
    <xf numFmtId="166" fontId="4" fillId="0" borderId="19" xfId="1" applyNumberFormat="1" applyFont="1" applyFill="1" applyBorder="1"/>
    <xf numFmtId="43" fontId="4" fillId="3" borderId="22" xfId="1" applyFont="1" applyFill="1" applyBorder="1"/>
    <xf numFmtId="166" fontId="4" fillId="0" borderId="19" xfId="1" applyNumberFormat="1" applyFont="1" applyBorder="1"/>
    <xf numFmtId="3" fontId="4" fillId="6" borderId="19" xfId="1" applyNumberFormat="1" applyFont="1" applyFill="1" applyBorder="1"/>
    <xf numFmtId="168" fontId="4" fillId="6" borderId="19" xfId="1" applyNumberFormat="1" applyFont="1" applyFill="1" applyBorder="1"/>
    <xf numFmtId="43" fontId="4" fillId="4" borderId="18" xfId="2" applyNumberFormat="1" applyFont="1" applyFill="1" applyBorder="1"/>
    <xf numFmtId="43" fontId="4" fillId="4" borderId="22" xfId="2" applyNumberFormat="1" applyFont="1" applyFill="1" applyBorder="1"/>
    <xf numFmtId="42" fontId="4" fillId="0" borderId="20" xfId="1" applyNumberFormat="1" applyFont="1" applyBorder="1"/>
    <xf numFmtId="165" fontId="4" fillId="0" borderId="0" xfId="0" applyNumberFormat="1" applyFont="1"/>
    <xf numFmtId="166" fontId="4" fillId="8" borderId="19" xfId="1" applyNumberFormat="1" applyFont="1" applyFill="1" applyBorder="1"/>
    <xf numFmtId="166" fontId="4" fillId="6" borderId="19" xfId="1" applyNumberFormat="1" applyFont="1" applyFill="1" applyBorder="1"/>
    <xf numFmtId="166" fontId="7" fillId="0" borderId="19" xfId="1" applyNumberFormat="1" applyFont="1" applyBorder="1"/>
    <xf numFmtId="165" fontId="7" fillId="0" borderId="19" xfId="1" applyNumberFormat="1" applyFont="1" applyFill="1" applyBorder="1"/>
    <xf numFmtId="166" fontId="7" fillId="0" borderId="19" xfId="1" applyNumberFormat="1" applyFont="1" applyFill="1" applyBorder="1"/>
    <xf numFmtId="43" fontId="6" fillId="4" borderId="18" xfId="2" applyNumberFormat="1" applyFont="1" applyFill="1" applyBorder="1"/>
    <xf numFmtId="43" fontId="6" fillId="4" borderId="22" xfId="2" applyNumberFormat="1" applyFont="1" applyFill="1" applyBorder="1"/>
    <xf numFmtId="167" fontId="4" fillId="0" borderId="0" xfId="0" applyNumberFormat="1" applyFont="1"/>
    <xf numFmtId="164" fontId="4" fillId="0" borderId="0" xfId="0" applyNumberFormat="1" applyFont="1"/>
    <xf numFmtId="43" fontId="4" fillId="0" borderId="0" xfId="1" applyFont="1"/>
    <xf numFmtId="166" fontId="4" fillId="0" borderId="0" xfId="0" applyNumberFormat="1" applyFont="1"/>
    <xf numFmtId="43" fontId="4" fillId="0" borderId="0" xfId="0" applyNumberFormat="1" applyFont="1"/>
    <xf numFmtId="3" fontId="4" fillId="0" borderId="0" xfId="0" applyNumberFormat="1" applyFont="1"/>
    <xf numFmtId="168" fontId="4" fillId="0" borderId="0" xfId="0" applyNumberFormat="1" applyFont="1"/>
    <xf numFmtId="43" fontId="5" fillId="0" borderId="8" xfId="1" applyNumberFormat="1" applyFont="1" applyFill="1" applyBorder="1"/>
    <xf numFmtId="43" fontId="4" fillId="0" borderId="19" xfId="1" applyNumberFormat="1" applyFont="1" applyFill="1" applyBorder="1"/>
    <xf numFmtId="43" fontId="4" fillId="0" borderId="8" xfId="1" applyNumberFormat="1" applyFont="1" applyFill="1" applyBorder="1"/>
    <xf numFmtId="166" fontId="4" fillId="0" borderId="19" xfId="1" applyNumberFormat="1" applyFont="1" applyBorder="1" applyAlignment="1"/>
    <xf numFmtId="43" fontId="4" fillId="0" borderId="19" xfId="1" applyNumberFormat="1" applyFont="1" applyFill="1" applyBorder="1" applyAlignment="1"/>
    <xf numFmtId="43" fontId="10" fillId="9" borderId="11" xfId="1" applyFont="1" applyFill="1" applyBorder="1" applyAlignment="1">
      <alignment horizontal="center" vertical="top" wrapText="1"/>
    </xf>
    <xf numFmtId="43" fontId="2" fillId="12" borderId="11" xfId="1" applyNumberFormat="1" applyFont="1" applyFill="1" applyBorder="1" applyAlignment="1">
      <alignment horizontal="center" vertical="top" wrapText="1"/>
    </xf>
    <xf numFmtId="165" fontId="2" fillId="11" borderId="2" xfId="2" applyNumberFormat="1" applyFont="1" applyFill="1" applyBorder="1" applyAlignment="1">
      <alignment horizontal="center" vertical="top" wrapText="1"/>
    </xf>
    <xf numFmtId="166" fontId="2" fillId="11" borderId="4" xfId="2" applyNumberFormat="1" applyFont="1" applyFill="1" applyBorder="1" applyAlignment="1">
      <alignment horizontal="center" vertical="top" wrapText="1"/>
    </xf>
    <xf numFmtId="43" fontId="12" fillId="13" borderId="11" xfId="1" applyNumberFormat="1" applyFont="1" applyFill="1" applyBorder="1" applyAlignment="1">
      <alignment horizontal="center" vertical="top" wrapText="1"/>
    </xf>
    <xf numFmtId="165" fontId="2" fillId="14" borderId="2" xfId="2" applyNumberFormat="1" applyFont="1" applyFill="1" applyBorder="1" applyAlignment="1">
      <alignment horizontal="center" vertical="top" wrapText="1"/>
    </xf>
    <xf numFmtId="166" fontId="2" fillId="14" borderId="4" xfId="2" applyNumberFormat="1" applyFont="1" applyFill="1" applyBorder="1" applyAlignment="1">
      <alignment horizontal="center" vertical="top" wrapText="1"/>
    </xf>
    <xf numFmtId="165" fontId="2" fillId="12" borderId="10" xfId="1" applyNumberFormat="1" applyFont="1" applyFill="1" applyBorder="1" applyAlignment="1">
      <alignment horizontal="center" vertical="top" wrapText="1"/>
    </xf>
    <xf numFmtId="165" fontId="10" fillId="9" borderId="23" xfId="1" applyNumberFormat="1" applyFont="1" applyFill="1" applyBorder="1" applyAlignment="1">
      <alignment horizontal="center" vertical="top" wrapText="1"/>
    </xf>
    <xf numFmtId="42" fontId="11" fillId="10" borderId="5" xfId="2" applyNumberFormat="1" applyFont="1" applyFill="1" applyBorder="1" applyAlignment="1">
      <alignment horizontal="center" vertical="top" wrapText="1"/>
    </xf>
    <xf numFmtId="165" fontId="5" fillId="0" borderId="7" xfId="1" applyNumberFormat="1" applyFont="1" applyFill="1" applyBorder="1"/>
    <xf numFmtId="42" fontId="4" fillId="0" borderId="9" xfId="1" applyNumberFormat="1" applyFont="1" applyBorder="1"/>
    <xf numFmtId="165" fontId="4" fillId="0" borderId="18" xfId="1" applyNumberFormat="1" applyFont="1" applyFill="1" applyBorder="1"/>
    <xf numFmtId="42" fontId="4" fillId="0" borderId="22" xfId="1" applyNumberFormat="1" applyFont="1" applyBorder="1"/>
    <xf numFmtId="42" fontId="4" fillId="8" borderId="22" xfId="1" applyNumberFormat="1" applyFont="1" applyFill="1" applyBorder="1"/>
    <xf numFmtId="42" fontId="4" fillId="6" borderId="22" xfId="1" applyNumberFormat="1" applyFont="1" applyFill="1" applyBorder="1"/>
    <xf numFmtId="42" fontId="7" fillId="0" borderId="22" xfId="1" applyNumberFormat="1" applyFont="1" applyBorder="1"/>
    <xf numFmtId="42" fontId="4" fillId="0" borderId="22" xfId="1" applyNumberFormat="1" applyFont="1" applyBorder="1" applyAlignment="1"/>
    <xf numFmtId="165" fontId="11" fillId="10" borderId="3" xfId="2" applyNumberFormat="1" applyFont="1" applyFill="1" applyBorder="1" applyAlignment="1">
      <alignment horizontal="center" vertical="top" wrapText="1"/>
    </xf>
    <xf numFmtId="166" fontId="11" fillId="10" borderId="3" xfId="2" applyNumberFormat="1" applyFont="1" applyFill="1" applyBorder="1" applyAlignment="1">
      <alignment horizontal="center" vertical="top" wrapText="1"/>
    </xf>
    <xf numFmtId="165" fontId="4" fillId="8" borderId="19" xfId="1" applyNumberFormat="1" applyFont="1" applyFill="1" applyBorder="1"/>
    <xf numFmtId="165" fontId="4" fillId="6" borderId="19" xfId="1" applyNumberFormat="1" applyFont="1" applyFill="1" applyBorder="1"/>
    <xf numFmtId="165" fontId="7" fillId="0" borderId="19" xfId="1" applyNumberFormat="1" applyFont="1" applyBorder="1"/>
    <xf numFmtId="165" fontId="2" fillId="12" borderId="23" xfId="1" applyNumberFormat="1" applyFont="1" applyFill="1" applyBorder="1" applyAlignment="1">
      <alignment horizontal="center" vertical="top" wrapText="1"/>
    </xf>
    <xf numFmtId="42" fontId="2" fillId="11" borderId="5" xfId="2" applyNumberFormat="1" applyFont="1" applyFill="1" applyBorder="1" applyAlignment="1">
      <alignment horizontal="center" vertical="top" wrapText="1"/>
    </xf>
    <xf numFmtId="42" fontId="4" fillId="0" borderId="22" xfId="1" applyNumberFormat="1" applyFont="1" applyFill="1" applyBorder="1"/>
    <xf numFmtId="165" fontId="4" fillId="0" borderId="18" xfId="1" applyNumberFormat="1" applyFont="1" applyFill="1" applyBorder="1" applyAlignment="1"/>
    <xf numFmtId="165" fontId="2" fillId="3" borderId="10" xfId="1" applyNumberFormat="1" applyFont="1" applyFill="1" applyBorder="1" applyAlignment="1">
      <alignment horizontal="center" vertical="top" wrapText="1"/>
    </xf>
    <xf numFmtId="165" fontId="4" fillId="3" borderId="15" xfId="1" applyNumberFormat="1" applyFont="1" applyFill="1" applyBorder="1"/>
    <xf numFmtId="165" fontId="4" fillId="3" borderId="21" xfId="1" applyNumberFormat="1" applyFont="1" applyFill="1" applyBorder="1"/>
    <xf numFmtId="165" fontId="12" fillId="13" borderId="23" xfId="1" applyNumberFormat="1" applyFont="1" applyFill="1" applyBorder="1" applyAlignment="1">
      <alignment horizontal="center" vertical="top" wrapText="1"/>
    </xf>
    <xf numFmtId="42" fontId="2" fillId="14" borderId="5" xfId="2" applyNumberFormat="1" applyFont="1" applyFill="1" applyBorder="1" applyAlignment="1">
      <alignment horizontal="center" vertical="top" wrapText="1"/>
    </xf>
    <xf numFmtId="165" fontId="4" fillId="0" borderId="7" xfId="1" applyNumberFormat="1" applyFont="1" applyFill="1" applyBorder="1"/>
    <xf numFmtId="42" fontId="4" fillId="0" borderId="9" xfId="1" applyNumberFormat="1" applyFont="1" applyFill="1" applyBorder="1"/>
    <xf numFmtId="42" fontId="7" fillId="0" borderId="22" xfId="1" applyNumberFormat="1" applyFont="1" applyFill="1" applyBorder="1"/>
    <xf numFmtId="165" fontId="13" fillId="0" borderId="8" xfId="1" applyNumberFormat="1" applyFont="1" applyFill="1" applyBorder="1"/>
    <xf numFmtId="43" fontId="13" fillId="0" borderId="8" xfId="1" applyFont="1" applyFill="1" applyBorder="1"/>
    <xf numFmtId="165" fontId="13" fillId="0" borderId="19" xfId="1" applyNumberFormat="1" applyFont="1" applyFill="1" applyBorder="1"/>
    <xf numFmtId="43" fontId="13" fillId="0" borderId="19" xfId="1" applyFont="1" applyFill="1" applyBorder="1"/>
    <xf numFmtId="165" fontId="13" fillId="0" borderId="0" xfId="1" applyNumberFormat="1" applyFont="1"/>
    <xf numFmtId="43" fontId="13" fillId="0" borderId="0" xfId="1" applyFont="1"/>
    <xf numFmtId="165" fontId="6" fillId="0" borderId="19" xfId="1" applyNumberFormat="1" applyFont="1" applyFill="1" applyBorder="1"/>
    <xf numFmtId="43" fontId="2" fillId="12" borderId="10" xfId="1" applyNumberFormat="1" applyFont="1" applyFill="1" applyBorder="1" applyAlignment="1">
      <alignment horizontal="center" vertical="top" wrapText="1"/>
    </xf>
    <xf numFmtId="43" fontId="12" fillId="13" borderId="10" xfId="1" applyNumberFormat="1" applyFont="1" applyFill="1" applyBorder="1" applyAlignment="1">
      <alignment horizontal="center" vertical="top" wrapText="1"/>
    </xf>
    <xf numFmtId="165" fontId="12" fillId="9" borderId="11" xfId="1" applyNumberFormat="1" applyFont="1" applyFill="1" applyBorder="1" applyAlignment="1">
      <alignment horizontal="center" vertical="top" wrapText="1"/>
    </xf>
    <xf numFmtId="43" fontId="13" fillId="0" borderId="19" xfId="1" applyFont="1" applyFill="1" applyBorder="1" applyAlignment="1"/>
    <xf numFmtId="165" fontId="4" fillId="0" borderId="19" xfId="1" applyNumberFormat="1" applyFont="1" applyBorder="1" applyAlignment="1"/>
    <xf numFmtId="2" fontId="2" fillId="0" borderId="4" xfId="2" applyNumberFormat="1" applyFont="1" applyFill="1" applyBorder="1" applyAlignment="1">
      <alignment horizontal="center" vertical="top" wrapText="1"/>
    </xf>
    <xf numFmtId="2" fontId="4" fillId="0" borderId="8" xfId="1" applyNumberFormat="1" applyFont="1" applyFill="1" applyBorder="1"/>
    <xf numFmtId="2" fontId="4" fillId="0" borderId="19" xfId="1" applyNumberFormat="1" applyFont="1" applyFill="1" applyBorder="1"/>
    <xf numFmtId="2" fontId="4" fillId="0" borderId="0" xfId="0" applyNumberFormat="1" applyFont="1"/>
    <xf numFmtId="1" fontId="2" fillId="0" borderId="4" xfId="2" applyNumberFormat="1" applyFont="1" applyFill="1" applyBorder="1" applyAlignment="1">
      <alignment horizontal="center" vertical="top" wrapText="1"/>
    </xf>
    <xf numFmtId="1" fontId="4" fillId="0" borderId="8" xfId="1" applyNumberFormat="1" applyFont="1" applyFill="1" applyBorder="1"/>
    <xf numFmtId="1" fontId="4" fillId="0" borderId="19" xfId="1" applyNumberFormat="1" applyFont="1" applyFill="1" applyBorder="1"/>
    <xf numFmtId="1" fontId="4" fillId="0" borderId="0" xfId="0" applyNumberFormat="1" applyFont="1"/>
    <xf numFmtId="43" fontId="2" fillId="4" borderId="24" xfId="2" applyNumberFormat="1" applyFont="1" applyFill="1" applyBorder="1" applyAlignment="1">
      <alignment horizontal="center" vertical="top" wrapText="1"/>
    </xf>
  </cellXfs>
  <cellStyles count="4">
    <cellStyle name="Comma" xfId="1" builtinId="3"/>
    <cellStyle name="Comma 2" xfId="3" xr:uid="{E33DD1E1-A05C-41B9-9A96-923F1FC04CAA}"/>
    <cellStyle name="Normal" xfId="0" builtinId="0"/>
    <cellStyle name="Output 2" xfId="2" xr:uid="{82B737C2-7674-4E37-9FB7-78BA34FA4A25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1614-B4F9-4FC1-BE54-A3BABD7EA6E2}">
  <sheetPr codeName="Sheet1">
    <tabColor rgb="FF00FF00"/>
  </sheetPr>
  <dimension ref="A1:AN96"/>
  <sheetViews>
    <sheetView showGridLines="0" tabSelected="1" zoomScaleNormal="100" workbookViewId="0">
      <pane xSplit="1" ySplit="1" topLeftCell="Q23" activePane="bottomRight" state="frozen"/>
      <selection pane="topRight" activeCell="B1" sqref="B1"/>
      <selection pane="bottomLeft" activeCell="A2" sqref="A2"/>
      <selection pane="bottomRight" activeCell="AI97" sqref="AI97"/>
    </sheetView>
  </sheetViews>
  <sheetFormatPr defaultRowHeight="15" x14ac:dyDescent="0.25"/>
  <cols>
    <col min="1" max="1" width="14" style="50" customWidth="1"/>
    <col min="2" max="2" width="10.5703125" style="28" customWidth="1"/>
    <col min="3" max="3" width="9.5703125" style="51" bestFit="1" customWidth="1"/>
    <col min="4" max="4" width="9.140625" style="53" customWidth="1"/>
    <col min="5" max="5" width="10.5703125" style="28" customWidth="1"/>
    <col min="6" max="6" width="9.140625" style="53" customWidth="1"/>
    <col min="7" max="7" width="10.5703125" style="28" customWidth="1"/>
    <col min="8" max="8" width="10.28515625" style="52" customWidth="1"/>
    <col min="9" max="9" width="10.28515625" style="29" customWidth="1"/>
    <col min="10" max="10" width="9.140625" style="28" customWidth="1"/>
    <col min="11" max="11" width="9.140625" style="53" customWidth="1"/>
    <col min="12" max="12" width="13.5703125" style="28" bestFit="1" customWidth="1"/>
    <col min="13" max="14" width="9.140625" style="28" customWidth="1"/>
    <col min="15" max="15" width="10.28515625" style="29" customWidth="1"/>
    <col min="16" max="17" width="9.140625" style="28" customWidth="1"/>
    <col min="18" max="18" width="10.28515625" style="29" customWidth="1"/>
    <col min="19" max="19" width="9.140625" style="100" customWidth="1"/>
    <col min="20" max="20" width="9.5703125" style="101" bestFit="1" customWidth="1"/>
    <col min="21" max="21" width="10.5703125" style="41" customWidth="1"/>
    <col min="22" max="24" width="10.5703125" style="28" customWidth="1"/>
    <col min="25" max="25" width="10.28515625" style="115" customWidth="1"/>
    <col min="26" max="26" width="10.28515625" style="111" customWidth="1"/>
    <col min="27" max="27" width="9.140625" style="54" customWidth="1"/>
    <col min="28" max="28" width="9.140625" style="55" customWidth="1"/>
    <col min="29" max="29" width="10" style="54" bestFit="1" customWidth="1"/>
    <col min="30" max="34" width="9.5703125" style="53" customWidth="1"/>
    <col min="35" max="35" width="12.7109375" style="29" customWidth="1"/>
    <col min="36" max="36" width="19.28515625" style="49" customWidth="1"/>
    <col min="37" max="38" width="9.140625" style="28"/>
    <col min="39" max="40" width="12.85546875" style="29" bestFit="1" customWidth="1"/>
    <col min="41" max="42" width="9.140625" style="28"/>
    <col min="43" max="43" width="11.28515625" style="28" customWidth="1"/>
    <col min="44" max="16384" width="9.140625" style="28"/>
  </cols>
  <sheetData>
    <row r="1" spans="1:40" s="1" customFormat="1" ht="33.75" customHeight="1" x14ac:dyDescent="0.25">
      <c r="A1" s="7" t="s">
        <v>1</v>
      </c>
      <c r="B1" s="69" t="s">
        <v>31</v>
      </c>
      <c r="C1" s="61" t="s">
        <v>30</v>
      </c>
      <c r="D1" s="84" t="s">
        <v>24</v>
      </c>
      <c r="E1" s="62" t="s">
        <v>25</v>
      </c>
      <c r="F1" s="91" t="s">
        <v>29</v>
      </c>
      <c r="G1" s="65" t="s">
        <v>28</v>
      </c>
      <c r="H1" s="88" t="s">
        <v>26</v>
      </c>
      <c r="I1" s="8" t="s">
        <v>27</v>
      </c>
      <c r="J1" s="79" t="s">
        <v>2</v>
      </c>
      <c r="K1" s="80" t="s">
        <v>3</v>
      </c>
      <c r="L1" s="70" t="s">
        <v>4</v>
      </c>
      <c r="M1" s="63" t="s">
        <v>5</v>
      </c>
      <c r="N1" s="64" t="s">
        <v>6</v>
      </c>
      <c r="O1" s="85" t="s">
        <v>7</v>
      </c>
      <c r="P1" s="66" t="s">
        <v>8</v>
      </c>
      <c r="Q1" s="67" t="s">
        <v>9</v>
      </c>
      <c r="R1" s="92" t="s">
        <v>10</v>
      </c>
      <c r="S1" s="105" t="s">
        <v>18</v>
      </c>
      <c r="T1" s="105" t="s">
        <v>19</v>
      </c>
      <c r="U1" s="68" t="s">
        <v>20</v>
      </c>
      <c r="V1" s="103" t="s">
        <v>21</v>
      </c>
      <c r="W1" s="104" t="s">
        <v>22</v>
      </c>
      <c r="X1" s="104" t="s">
        <v>23</v>
      </c>
      <c r="Y1" s="112" t="s">
        <v>16</v>
      </c>
      <c r="Z1" s="108" t="s">
        <v>17</v>
      </c>
      <c r="AA1" s="3" t="s">
        <v>11</v>
      </c>
      <c r="AB1" s="4" t="s">
        <v>12</v>
      </c>
      <c r="AC1" s="5" t="s">
        <v>33</v>
      </c>
      <c r="AD1" s="5" t="s">
        <v>32</v>
      </c>
      <c r="AE1" s="5" t="s">
        <v>13</v>
      </c>
      <c r="AF1" s="6" t="s">
        <v>14</v>
      </c>
      <c r="AG1" s="116" t="s">
        <v>34</v>
      </c>
      <c r="AH1" s="116" t="s">
        <v>35</v>
      </c>
      <c r="AI1" s="9" t="s">
        <v>15</v>
      </c>
      <c r="AJ1" s="10" t="s">
        <v>0</v>
      </c>
      <c r="AM1" s="2"/>
      <c r="AN1" s="2"/>
    </row>
    <row r="2" spans="1:40" x14ac:dyDescent="0.25">
      <c r="A2" s="11">
        <v>46129</v>
      </c>
      <c r="B2" s="71"/>
      <c r="C2" s="12"/>
      <c r="D2" s="71"/>
      <c r="E2" s="56"/>
      <c r="F2" s="93"/>
      <c r="G2" s="58"/>
      <c r="H2" s="89">
        <f>B2+D2+F2</f>
        <v>0</v>
      </c>
      <c r="I2" s="16">
        <f>C2+E2+G2</f>
        <v>0</v>
      </c>
      <c r="J2" s="18"/>
      <c r="K2" s="17"/>
      <c r="L2" s="72"/>
      <c r="M2" s="18"/>
      <c r="N2" s="18"/>
      <c r="O2" s="72"/>
      <c r="P2" s="14"/>
      <c r="Q2" s="15"/>
      <c r="R2" s="94"/>
      <c r="S2" s="96">
        <f>B2-J2</f>
        <v>0</v>
      </c>
      <c r="T2" s="97">
        <f>C2-K2</f>
        <v>0</v>
      </c>
      <c r="U2" s="13">
        <f>D2-M2</f>
        <v>0</v>
      </c>
      <c r="V2" s="13">
        <f>E2-N2</f>
        <v>0</v>
      </c>
      <c r="W2" s="58">
        <f>F2-P2</f>
        <v>0</v>
      </c>
      <c r="X2" s="58">
        <f>G2-Q2</f>
        <v>0</v>
      </c>
      <c r="Y2" s="113">
        <f>U2+W2</f>
        <v>0</v>
      </c>
      <c r="Z2" s="109">
        <f>V2+X2</f>
        <v>0</v>
      </c>
      <c r="AA2" s="19"/>
      <c r="AB2" s="20"/>
      <c r="AC2" s="21">
        <f>S2+Y2-AA2</f>
        <v>0</v>
      </c>
      <c r="AD2" s="22">
        <f>T2+Z2-AB2</f>
        <v>0</v>
      </c>
      <c r="AE2" s="23"/>
      <c r="AF2" s="24"/>
      <c r="AG2" s="22" t="str">
        <f>IF(AE2="","",AC2-AE2)</f>
        <v/>
      </c>
      <c r="AH2" s="22" t="str">
        <f>IF(AF2="","",AD2-AF2)</f>
        <v/>
      </c>
      <c r="AI2" s="26"/>
      <c r="AJ2" s="27">
        <f>(K2*L2)+(N2*O2)+(Q2*R2)</f>
        <v>0</v>
      </c>
    </row>
    <row r="3" spans="1:40" x14ac:dyDescent="0.25">
      <c r="A3" s="30">
        <f>A2+1</f>
        <v>46130</v>
      </c>
      <c r="B3" s="73"/>
      <c r="C3" s="31"/>
      <c r="D3" s="73"/>
      <c r="E3" s="57"/>
      <c r="F3" s="73"/>
      <c r="G3" s="57"/>
      <c r="H3" s="90">
        <f>B3+D3+F3</f>
        <v>0</v>
      </c>
      <c r="I3" s="34"/>
      <c r="J3" s="25"/>
      <c r="K3" s="35"/>
      <c r="L3" s="74"/>
      <c r="M3" s="32"/>
      <c r="N3" s="33"/>
      <c r="O3" s="86"/>
      <c r="P3" s="32"/>
      <c r="Q3" s="33"/>
      <c r="R3" s="86"/>
      <c r="S3" s="96">
        <f>B3-J3+S2</f>
        <v>0</v>
      </c>
      <c r="T3" s="97">
        <f>C3-K3+T2</f>
        <v>0</v>
      </c>
      <c r="U3" s="13">
        <f>D3-M3+U2</f>
        <v>0</v>
      </c>
      <c r="V3" s="13">
        <f>E3-N3+V2</f>
        <v>0</v>
      </c>
      <c r="W3" s="58">
        <f>F3-P3+W2</f>
        <v>0</v>
      </c>
      <c r="X3" s="58">
        <f>G3-Q3+X2</f>
        <v>0</v>
      </c>
      <c r="Y3" s="114">
        <f t="shared" ref="Y3:Y66" si="0">U3+W3</f>
        <v>0</v>
      </c>
      <c r="Z3" s="110">
        <f t="shared" ref="Z3:Z66" si="1">V3+X3</f>
        <v>0</v>
      </c>
      <c r="AA3" s="36"/>
      <c r="AB3" s="37"/>
      <c r="AC3" s="21">
        <f t="shared" ref="AC3:AC30" si="2">S3+Y3-AA3</f>
        <v>0</v>
      </c>
      <c r="AD3" s="22">
        <f t="shared" ref="AD3:AD30" si="3">T3+Z3-AB3</f>
        <v>0</v>
      </c>
      <c r="AE3" s="38"/>
      <c r="AF3" s="39"/>
      <c r="AG3" s="22" t="str">
        <f t="shared" ref="AG3:AG66" si="4">IF(AE3="","",AC3-AE3)</f>
        <v/>
      </c>
      <c r="AH3" s="22" t="str">
        <f t="shared" ref="AH3:AH66" si="5">IF(AF3="","",AD3-AF3)</f>
        <v/>
      </c>
      <c r="AI3" s="40"/>
      <c r="AJ3" s="27">
        <f>(K3*L3)+(N3*O3)+(Q3*R3)</f>
        <v>0</v>
      </c>
    </row>
    <row r="4" spans="1:40" x14ac:dyDescent="0.25">
      <c r="A4" s="30">
        <f t="shared" ref="A4:A67" si="6">A3+1</f>
        <v>46131</v>
      </c>
      <c r="B4" s="73"/>
      <c r="C4" s="31"/>
      <c r="D4" s="73"/>
      <c r="E4" s="57"/>
      <c r="F4" s="73"/>
      <c r="G4" s="57"/>
      <c r="H4" s="90">
        <f>B4+D4+F4</f>
        <v>0</v>
      </c>
      <c r="I4" s="34"/>
      <c r="J4" s="25"/>
      <c r="K4" s="35"/>
      <c r="L4" s="74"/>
      <c r="M4" s="32"/>
      <c r="N4" s="33"/>
      <c r="O4" s="86"/>
      <c r="P4" s="32"/>
      <c r="Q4" s="33"/>
      <c r="R4" s="86"/>
      <c r="S4" s="98">
        <f t="shared" ref="S4:S67" si="7">B4-J4+S3</f>
        <v>0</v>
      </c>
      <c r="T4" s="99">
        <f t="shared" ref="T4:T67" si="8">C4-K4+T3</f>
        <v>0</v>
      </c>
      <c r="U4" s="32">
        <f t="shared" ref="U4:U67" si="9">D4-M4+U3</f>
        <v>0</v>
      </c>
      <c r="V4" s="57">
        <f t="shared" ref="V4:V67" si="10">E4-N4+V3</f>
        <v>0</v>
      </c>
      <c r="W4" s="57">
        <f t="shared" ref="W4:W67" si="11">F4-P4+W3</f>
        <v>0</v>
      </c>
      <c r="X4" s="57">
        <f t="shared" ref="X4:X67" si="12">G4-Q4+X3</f>
        <v>0</v>
      </c>
      <c r="Y4" s="114">
        <f t="shared" si="0"/>
        <v>0</v>
      </c>
      <c r="Z4" s="110">
        <f t="shared" si="1"/>
        <v>0</v>
      </c>
      <c r="AA4" s="36"/>
      <c r="AB4" s="37"/>
      <c r="AC4" s="21">
        <f t="shared" si="2"/>
        <v>0</v>
      </c>
      <c r="AD4" s="22">
        <f t="shared" si="3"/>
        <v>0</v>
      </c>
      <c r="AE4" s="38"/>
      <c r="AF4" s="39"/>
      <c r="AG4" s="22" t="str">
        <f t="shared" si="4"/>
        <v/>
      </c>
      <c r="AH4" s="22" t="str">
        <f t="shared" si="5"/>
        <v/>
      </c>
      <c r="AI4" s="40"/>
      <c r="AJ4" s="27">
        <f>(K4*L4)+(N4*O4)+(Q4*R4)</f>
        <v>0</v>
      </c>
    </row>
    <row r="5" spans="1:40" x14ac:dyDescent="0.25">
      <c r="A5" s="30">
        <f t="shared" si="6"/>
        <v>46132</v>
      </c>
      <c r="B5" s="73"/>
      <c r="C5" s="31"/>
      <c r="D5" s="73"/>
      <c r="E5" s="57"/>
      <c r="F5" s="73"/>
      <c r="G5" s="57"/>
      <c r="H5" s="90">
        <f>B5+D5+F5</f>
        <v>0</v>
      </c>
      <c r="I5" s="34">
        <f>C5+E5+G5</f>
        <v>0</v>
      </c>
      <c r="J5" s="25"/>
      <c r="K5" s="35"/>
      <c r="L5" s="74"/>
      <c r="M5" s="32"/>
      <c r="N5" s="33"/>
      <c r="O5" s="86"/>
      <c r="P5" s="32"/>
      <c r="Q5" s="33"/>
      <c r="R5" s="86"/>
      <c r="S5" s="98">
        <f t="shared" si="7"/>
        <v>0</v>
      </c>
      <c r="T5" s="99">
        <f t="shared" si="8"/>
        <v>0</v>
      </c>
      <c r="U5" s="32">
        <f t="shared" si="9"/>
        <v>0</v>
      </c>
      <c r="V5" s="57">
        <f t="shared" si="10"/>
        <v>0</v>
      </c>
      <c r="W5" s="57">
        <f t="shared" si="11"/>
        <v>0</v>
      </c>
      <c r="X5" s="57">
        <f t="shared" si="12"/>
        <v>0</v>
      </c>
      <c r="Y5" s="114">
        <f t="shared" si="0"/>
        <v>0</v>
      </c>
      <c r="Z5" s="110">
        <f t="shared" si="1"/>
        <v>0</v>
      </c>
      <c r="AA5" s="36"/>
      <c r="AB5" s="37"/>
      <c r="AC5" s="21">
        <f t="shared" si="2"/>
        <v>0</v>
      </c>
      <c r="AD5" s="22">
        <f t="shared" si="3"/>
        <v>0</v>
      </c>
      <c r="AE5" s="38"/>
      <c r="AF5" s="39"/>
      <c r="AG5" s="22" t="str">
        <f t="shared" si="4"/>
        <v/>
      </c>
      <c r="AH5" s="22" t="str">
        <f t="shared" si="5"/>
        <v/>
      </c>
      <c r="AI5" s="40"/>
      <c r="AJ5" s="27">
        <f>(K5*L5)+(N5*O5)+(Q5*R5)</f>
        <v>0</v>
      </c>
    </row>
    <row r="6" spans="1:40" x14ac:dyDescent="0.25">
      <c r="A6" s="30">
        <f t="shared" si="6"/>
        <v>46133</v>
      </c>
      <c r="B6" s="73"/>
      <c r="C6" s="31"/>
      <c r="D6" s="73"/>
      <c r="E6" s="57"/>
      <c r="F6" s="73"/>
      <c r="G6" s="57"/>
      <c r="H6" s="90">
        <f>B6+D6+F6</f>
        <v>0</v>
      </c>
      <c r="I6" s="34"/>
      <c r="J6" s="25"/>
      <c r="K6" s="35"/>
      <c r="L6" s="74"/>
      <c r="M6" s="32"/>
      <c r="N6" s="33"/>
      <c r="O6" s="86"/>
      <c r="P6" s="32"/>
      <c r="Q6" s="33"/>
      <c r="R6" s="86"/>
      <c r="S6" s="98">
        <f t="shared" si="7"/>
        <v>0</v>
      </c>
      <c r="T6" s="99">
        <f t="shared" si="8"/>
        <v>0</v>
      </c>
      <c r="U6" s="32">
        <f t="shared" si="9"/>
        <v>0</v>
      </c>
      <c r="V6" s="57">
        <f t="shared" si="10"/>
        <v>0</v>
      </c>
      <c r="W6" s="57">
        <f t="shared" si="11"/>
        <v>0</v>
      </c>
      <c r="X6" s="57">
        <f t="shared" si="12"/>
        <v>0</v>
      </c>
      <c r="Y6" s="114">
        <f t="shared" si="0"/>
        <v>0</v>
      </c>
      <c r="Z6" s="110">
        <f t="shared" si="1"/>
        <v>0</v>
      </c>
      <c r="AA6" s="36"/>
      <c r="AB6" s="37"/>
      <c r="AC6" s="21">
        <f t="shared" si="2"/>
        <v>0</v>
      </c>
      <c r="AD6" s="22">
        <f t="shared" si="3"/>
        <v>0</v>
      </c>
      <c r="AE6" s="38"/>
      <c r="AF6" s="39"/>
      <c r="AG6" s="22" t="str">
        <f t="shared" si="4"/>
        <v/>
      </c>
      <c r="AH6" s="22" t="str">
        <f t="shared" si="5"/>
        <v/>
      </c>
      <c r="AI6" s="40"/>
      <c r="AJ6" s="27">
        <f>(K6*L6)+(N6*O6)+(Q6*R6)</f>
        <v>0</v>
      </c>
    </row>
    <row r="7" spans="1:40" x14ac:dyDescent="0.25">
      <c r="A7" s="30">
        <f t="shared" si="6"/>
        <v>46134</v>
      </c>
      <c r="B7" s="73"/>
      <c r="C7" s="31"/>
      <c r="D7" s="73"/>
      <c r="E7" s="57"/>
      <c r="F7" s="73"/>
      <c r="G7" s="57"/>
      <c r="H7" s="90">
        <f>B7+D7+F7</f>
        <v>0</v>
      </c>
      <c r="I7" s="34">
        <f>C7+E7+G7</f>
        <v>0</v>
      </c>
      <c r="J7" s="25"/>
      <c r="K7" s="35"/>
      <c r="L7" s="74"/>
      <c r="M7" s="32"/>
      <c r="N7" s="33"/>
      <c r="O7" s="86"/>
      <c r="P7" s="32"/>
      <c r="Q7" s="33"/>
      <c r="R7" s="86"/>
      <c r="S7" s="98">
        <f t="shared" si="7"/>
        <v>0</v>
      </c>
      <c r="T7" s="99">
        <f t="shared" si="8"/>
        <v>0</v>
      </c>
      <c r="U7" s="32">
        <f t="shared" si="9"/>
        <v>0</v>
      </c>
      <c r="V7" s="57">
        <f t="shared" si="10"/>
        <v>0</v>
      </c>
      <c r="W7" s="57">
        <f t="shared" si="11"/>
        <v>0</v>
      </c>
      <c r="X7" s="57">
        <f t="shared" si="12"/>
        <v>0</v>
      </c>
      <c r="Y7" s="114">
        <f t="shared" si="0"/>
        <v>0</v>
      </c>
      <c r="Z7" s="110">
        <f t="shared" si="1"/>
        <v>0</v>
      </c>
      <c r="AA7" s="36"/>
      <c r="AB7" s="37"/>
      <c r="AC7" s="21">
        <f t="shared" si="2"/>
        <v>0</v>
      </c>
      <c r="AD7" s="22">
        <f t="shared" si="3"/>
        <v>0</v>
      </c>
      <c r="AE7" s="38"/>
      <c r="AF7" s="39"/>
      <c r="AG7" s="22" t="str">
        <f t="shared" si="4"/>
        <v/>
      </c>
      <c r="AH7" s="22" t="str">
        <f t="shared" si="5"/>
        <v/>
      </c>
      <c r="AI7" s="40"/>
      <c r="AJ7" s="27">
        <f>(K7*L7)+(N7*O7)+(Q7*R7)</f>
        <v>0</v>
      </c>
    </row>
    <row r="8" spans="1:40" x14ac:dyDescent="0.25">
      <c r="A8" s="30">
        <f t="shared" si="6"/>
        <v>46135</v>
      </c>
      <c r="B8" s="73"/>
      <c r="C8" s="31"/>
      <c r="D8" s="73"/>
      <c r="E8" s="57"/>
      <c r="F8" s="73"/>
      <c r="G8" s="57"/>
      <c r="H8" s="90">
        <f>B8+D8+F8</f>
        <v>0</v>
      </c>
      <c r="I8" s="34">
        <f>C8+E8+G8</f>
        <v>0</v>
      </c>
      <c r="J8" s="25"/>
      <c r="K8" s="35"/>
      <c r="L8" s="74"/>
      <c r="M8" s="32"/>
      <c r="N8" s="33"/>
      <c r="O8" s="86"/>
      <c r="P8" s="32"/>
      <c r="Q8" s="33"/>
      <c r="R8" s="86"/>
      <c r="S8" s="98">
        <f t="shared" si="7"/>
        <v>0</v>
      </c>
      <c r="T8" s="99">
        <f t="shared" si="8"/>
        <v>0</v>
      </c>
      <c r="U8" s="32">
        <f t="shared" si="9"/>
        <v>0</v>
      </c>
      <c r="V8" s="57">
        <f t="shared" si="10"/>
        <v>0</v>
      </c>
      <c r="W8" s="57">
        <f t="shared" si="11"/>
        <v>0</v>
      </c>
      <c r="X8" s="57">
        <f t="shared" si="12"/>
        <v>0</v>
      </c>
      <c r="Y8" s="114">
        <f t="shared" si="0"/>
        <v>0</v>
      </c>
      <c r="Z8" s="110">
        <f t="shared" si="1"/>
        <v>0</v>
      </c>
      <c r="AA8" s="36"/>
      <c r="AB8" s="37"/>
      <c r="AC8" s="21">
        <f t="shared" si="2"/>
        <v>0</v>
      </c>
      <c r="AD8" s="22">
        <f t="shared" si="3"/>
        <v>0</v>
      </c>
      <c r="AE8" s="38"/>
      <c r="AF8" s="39"/>
      <c r="AG8" s="22" t="str">
        <f t="shared" si="4"/>
        <v/>
      </c>
      <c r="AH8" s="22" t="str">
        <f t="shared" si="5"/>
        <v/>
      </c>
      <c r="AI8" s="40"/>
      <c r="AJ8" s="27">
        <f>(K8*L8)+(N8*O8)+(Q8*R8)</f>
        <v>0</v>
      </c>
    </row>
    <row r="9" spans="1:40" x14ac:dyDescent="0.25">
      <c r="A9" s="30">
        <f t="shared" si="6"/>
        <v>46136</v>
      </c>
      <c r="B9" s="73"/>
      <c r="C9" s="31"/>
      <c r="D9" s="73"/>
      <c r="E9" s="57"/>
      <c r="F9" s="73"/>
      <c r="G9" s="57"/>
      <c r="H9" s="90">
        <f>B9+D9+F9</f>
        <v>0</v>
      </c>
      <c r="I9" s="34">
        <f>C9+E9+G9</f>
        <v>0</v>
      </c>
      <c r="J9" s="25"/>
      <c r="K9" s="35"/>
      <c r="L9" s="74"/>
      <c r="M9" s="32"/>
      <c r="N9" s="33"/>
      <c r="O9" s="86"/>
      <c r="P9" s="32"/>
      <c r="Q9" s="33"/>
      <c r="R9" s="86"/>
      <c r="S9" s="98">
        <f t="shared" si="7"/>
        <v>0</v>
      </c>
      <c r="T9" s="99">
        <f t="shared" si="8"/>
        <v>0</v>
      </c>
      <c r="U9" s="32">
        <f t="shared" si="9"/>
        <v>0</v>
      </c>
      <c r="V9" s="57">
        <f t="shared" si="10"/>
        <v>0</v>
      </c>
      <c r="W9" s="57">
        <f t="shared" si="11"/>
        <v>0</v>
      </c>
      <c r="X9" s="57">
        <f t="shared" si="12"/>
        <v>0</v>
      </c>
      <c r="Y9" s="114">
        <f t="shared" si="0"/>
        <v>0</v>
      </c>
      <c r="Z9" s="110">
        <f t="shared" si="1"/>
        <v>0</v>
      </c>
      <c r="AA9" s="36"/>
      <c r="AB9" s="37"/>
      <c r="AC9" s="21">
        <f t="shared" si="2"/>
        <v>0</v>
      </c>
      <c r="AD9" s="22">
        <f t="shared" si="3"/>
        <v>0</v>
      </c>
      <c r="AE9" s="38"/>
      <c r="AF9" s="39"/>
      <c r="AG9" s="22" t="str">
        <f t="shared" si="4"/>
        <v/>
      </c>
      <c r="AH9" s="22" t="str">
        <f t="shared" si="5"/>
        <v/>
      </c>
      <c r="AI9" s="40"/>
      <c r="AJ9" s="27">
        <f>(K9*L9)+(N9*O9)+(Q9*R9)</f>
        <v>0</v>
      </c>
    </row>
    <row r="10" spans="1:40" x14ac:dyDescent="0.25">
      <c r="A10" s="30">
        <f t="shared" si="6"/>
        <v>46137</v>
      </c>
      <c r="B10" s="73"/>
      <c r="C10" s="31"/>
      <c r="D10" s="73"/>
      <c r="E10" s="57"/>
      <c r="F10" s="73"/>
      <c r="G10" s="57"/>
      <c r="H10" s="90">
        <f>B10+D10+F10</f>
        <v>0</v>
      </c>
      <c r="I10" s="34">
        <f>C10+E10+G10</f>
        <v>0</v>
      </c>
      <c r="J10" s="25"/>
      <c r="K10" s="35"/>
      <c r="L10" s="74"/>
      <c r="M10" s="32"/>
      <c r="N10" s="33"/>
      <c r="O10" s="86"/>
      <c r="P10" s="32"/>
      <c r="Q10" s="33"/>
      <c r="R10" s="86"/>
      <c r="S10" s="98">
        <f t="shared" si="7"/>
        <v>0</v>
      </c>
      <c r="T10" s="99">
        <f t="shared" si="8"/>
        <v>0</v>
      </c>
      <c r="U10" s="32">
        <f t="shared" si="9"/>
        <v>0</v>
      </c>
      <c r="V10" s="57">
        <f t="shared" si="10"/>
        <v>0</v>
      </c>
      <c r="W10" s="57">
        <f t="shared" si="11"/>
        <v>0</v>
      </c>
      <c r="X10" s="57">
        <f t="shared" si="12"/>
        <v>0</v>
      </c>
      <c r="Y10" s="114">
        <f t="shared" si="0"/>
        <v>0</v>
      </c>
      <c r="Z10" s="110">
        <f t="shared" si="1"/>
        <v>0</v>
      </c>
      <c r="AA10" s="36"/>
      <c r="AB10" s="37"/>
      <c r="AC10" s="21">
        <f t="shared" si="2"/>
        <v>0</v>
      </c>
      <c r="AD10" s="22">
        <f t="shared" si="3"/>
        <v>0</v>
      </c>
      <c r="AE10" s="38"/>
      <c r="AF10" s="39"/>
      <c r="AG10" s="22" t="str">
        <f t="shared" si="4"/>
        <v/>
      </c>
      <c r="AH10" s="22" t="str">
        <f t="shared" si="5"/>
        <v/>
      </c>
      <c r="AI10" s="40"/>
      <c r="AJ10" s="27">
        <f>(K10*L10)+(N10*O10)+(Q10*R10)</f>
        <v>0</v>
      </c>
    </row>
    <row r="11" spans="1:40" x14ac:dyDescent="0.25">
      <c r="A11" s="30">
        <f t="shared" si="6"/>
        <v>46138</v>
      </c>
      <c r="B11" s="73"/>
      <c r="C11" s="31"/>
      <c r="D11" s="73"/>
      <c r="E11" s="57"/>
      <c r="F11" s="73"/>
      <c r="G11" s="57"/>
      <c r="H11" s="90">
        <f>B11+D11+F11</f>
        <v>0</v>
      </c>
      <c r="I11" s="34">
        <f>C11+E11+G11</f>
        <v>0</v>
      </c>
      <c r="J11" s="25"/>
      <c r="K11" s="35"/>
      <c r="L11" s="74"/>
      <c r="M11" s="32"/>
      <c r="N11" s="33"/>
      <c r="O11" s="86"/>
      <c r="P11" s="32"/>
      <c r="Q11" s="33"/>
      <c r="R11" s="86"/>
      <c r="S11" s="98">
        <f t="shared" si="7"/>
        <v>0</v>
      </c>
      <c r="T11" s="99">
        <f t="shared" si="8"/>
        <v>0</v>
      </c>
      <c r="U11" s="32">
        <f t="shared" si="9"/>
        <v>0</v>
      </c>
      <c r="V11" s="57">
        <f t="shared" si="10"/>
        <v>0</v>
      </c>
      <c r="W11" s="57">
        <f t="shared" si="11"/>
        <v>0</v>
      </c>
      <c r="X11" s="57">
        <f t="shared" si="12"/>
        <v>0</v>
      </c>
      <c r="Y11" s="114">
        <f t="shared" si="0"/>
        <v>0</v>
      </c>
      <c r="Z11" s="110">
        <f t="shared" si="1"/>
        <v>0</v>
      </c>
      <c r="AA11" s="36"/>
      <c r="AB11" s="37"/>
      <c r="AC11" s="21">
        <f t="shared" si="2"/>
        <v>0</v>
      </c>
      <c r="AD11" s="22">
        <f t="shared" si="3"/>
        <v>0</v>
      </c>
      <c r="AE11" s="38"/>
      <c r="AF11" s="39"/>
      <c r="AG11" s="22" t="str">
        <f t="shared" si="4"/>
        <v/>
      </c>
      <c r="AH11" s="22" t="str">
        <f t="shared" si="5"/>
        <v/>
      </c>
      <c r="AI11" s="40"/>
      <c r="AJ11" s="27">
        <f>(K11*L11)+(N11*O11)+(Q11*R11)</f>
        <v>0</v>
      </c>
    </row>
    <row r="12" spans="1:40" x14ac:dyDescent="0.25">
      <c r="A12" s="30">
        <f t="shared" si="6"/>
        <v>46139</v>
      </c>
      <c r="B12" s="73"/>
      <c r="C12" s="31"/>
      <c r="D12" s="73"/>
      <c r="E12" s="57"/>
      <c r="F12" s="73"/>
      <c r="G12" s="57"/>
      <c r="H12" s="90">
        <f>B12+D12+F12</f>
        <v>0</v>
      </c>
      <c r="I12" s="34">
        <f>C12+E12+G12</f>
        <v>0</v>
      </c>
      <c r="J12" s="25"/>
      <c r="K12" s="35"/>
      <c r="L12" s="74"/>
      <c r="M12" s="32"/>
      <c r="N12" s="33"/>
      <c r="O12" s="86"/>
      <c r="P12" s="32"/>
      <c r="Q12" s="33"/>
      <c r="R12" s="86"/>
      <c r="S12" s="98">
        <f t="shared" si="7"/>
        <v>0</v>
      </c>
      <c r="T12" s="99">
        <f t="shared" si="8"/>
        <v>0</v>
      </c>
      <c r="U12" s="32">
        <f t="shared" si="9"/>
        <v>0</v>
      </c>
      <c r="V12" s="57">
        <f t="shared" si="10"/>
        <v>0</v>
      </c>
      <c r="W12" s="57">
        <f t="shared" si="11"/>
        <v>0</v>
      </c>
      <c r="X12" s="57">
        <f t="shared" si="12"/>
        <v>0</v>
      </c>
      <c r="Y12" s="114">
        <f t="shared" si="0"/>
        <v>0</v>
      </c>
      <c r="Z12" s="110">
        <f t="shared" si="1"/>
        <v>0</v>
      </c>
      <c r="AA12" s="36"/>
      <c r="AB12" s="37"/>
      <c r="AC12" s="21">
        <f t="shared" si="2"/>
        <v>0</v>
      </c>
      <c r="AD12" s="22">
        <f t="shared" si="3"/>
        <v>0</v>
      </c>
      <c r="AE12" s="38"/>
      <c r="AF12" s="39"/>
      <c r="AG12" s="22" t="str">
        <f t="shared" si="4"/>
        <v/>
      </c>
      <c r="AH12" s="22" t="str">
        <f t="shared" si="5"/>
        <v/>
      </c>
      <c r="AI12" s="40"/>
      <c r="AJ12" s="27">
        <f>(K12*L12)+(N12*O12)+(Q12*R12)</f>
        <v>0</v>
      </c>
    </row>
    <row r="13" spans="1:40" x14ac:dyDescent="0.25">
      <c r="A13" s="30">
        <f t="shared" si="6"/>
        <v>46140</v>
      </c>
      <c r="B13" s="73"/>
      <c r="C13" s="31"/>
      <c r="D13" s="73"/>
      <c r="E13" s="57"/>
      <c r="F13" s="73"/>
      <c r="G13" s="57"/>
      <c r="H13" s="90">
        <f>B13+D13+F13</f>
        <v>0</v>
      </c>
      <c r="I13" s="34">
        <f>C13+E13+G13</f>
        <v>0</v>
      </c>
      <c r="J13" s="25"/>
      <c r="K13" s="35"/>
      <c r="L13" s="74"/>
      <c r="M13" s="32"/>
      <c r="N13" s="33"/>
      <c r="O13" s="86"/>
      <c r="P13" s="32"/>
      <c r="Q13" s="33"/>
      <c r="R13" s="86"/>
      <c r="S13" s="98">
        <f t="shared" si="7"/>
        <v>0</v>
      </c>
      <c r="T13" s="99">
        <f t="shared" si="8"/>
        <v>0</v>
      </c>
      <c r="U13" s="32">
        <f t="shared" si="9"/>
        <v>0</v>
      </c>
      <c r="V13" s="57">
        <f t="shared" si="10"/>
        <v>0</v>
      </c>
      <c r="W13" s="57">
        <f t="shared" si="11"/>
        <v>0</v>
      </c>
      <c r="X13" s="57">
        <f t="shared" si="12"/>
        <v>0</v>
      </c>
      <c r="Y13" s="114">
        <f t="shared" si="0"/>
        <v>0</v>
      </c>
      <c r="Z13" s="110">
        <f t="shared" si="1"/>
        <v>0</v>
      </c>
      <c r="AA13" s="36"/>
      <c r="AB13" s="37"/>
      <c r="AC13" s="21">
        <f t="shared" si="2"/>
        <v>0</v>
      </c>
      <c r="AD13" s="22">
        <f t="shared" si="3"/>
        <v>0</v>
      </c>
      <c r="AE13" s="38"/>
      <c r="AF13" s="39"/>
      <c r="AG13" s="22" t="str">
        <f t="shared" si="4"/>
        <v/>
      </c>
      <c r="AH13" s="22" t="str">
        <f t="shared" si="5"/>
        <v/>
      </c>
      <c r="AI13" s="40"/>
      <c r="AJ13" s="27">
        <f>(K13*L13)+(N13*O13)+(Q13*R13)</f>
        <v>0</v>
      </c>
    </row>
    <row r="14" spans="1:40" x14ac:dyDescent="0.25">
      <c r="A14" s="30">
        <f t="shared" si="6"/>
        <v>46141</v>
      </c>
      <c r="B14" s="73"/>
      <c r="C14" s="31"/>
      <c r="D14" s="73"/>
      <c r="E14" s="57"/>
      <c r="F14" s="73"/>
      <c r="G14" s="57"/>
      <c r="H14" s="90">
        <f>B14+D14+F14</f>
        <v>0</v>
      </c>
      <c r="I14" s="34">
        <f>C14+E14+G14</f>
        <v>0</v>
      </c>
      <c r="J14" s="25"/>
      <c r="K14" s="35"/>
      <c r="L14" s="74"/>
      <c r="M14" s="32"/>
      <c r="N14" s="33"/>
      <c r="O14" s="86"/>
      <c r="P14" s="32"/>
      <c r="Q14" s="33"/>
      <c r="R14" s="86"/>
      <c r="S14" s="98">
        <f t="shared" si="7"/>
        <v>0</v>
      </c>
      <c r="T14" s="99">
        <f t="shared" si="8"/>
        <v>0</v>
      </c>
      <c r="U14" s="32">
        <f t="shared" si="9"/>
        <v>0</v>
      </c>
      <c r="V14" s="57">
        <f t="shared" si="10"/>
        <v>0</v>
      </c>
      <c r="W14" s="57">
        <f t="shared" si="11"/>
        <v>0</v>
      </c>
      <c r="X14" s="57">
        <f t="shared" si="12"/>
        <v>0</v>
      </c>
      <c r="Y14" s="114">
        <f t="shared" si="0"/>
        <v>0</v>
      </c>
      <c r="Z14" s="110">
        <f t="shared" si="1"/>
        <v>0</v>
      </c>
      <c r="AA14" s="36"/>
      <c r="AB14" s="37"/>
      <c r="AC14" s="21">
        <f t="shared" si="2"/>
        <v>0</v>
      </c>
      <c r="AD14" s="22">
        <f t="shared" si="3"/>
        <v>0</v>
      </c>
      <c r="AE14" s="38"/>
      <c r="AF14" s="39"/>
      <c r="AG14" s="22" t="str">
        <f t="shared" si="4"/>
        <v/>
      </c>
      <c r="AH14" s="22" t="str">
        <f t="shared" si="5"/>
        <v/>
      </c>
      <c r="AI14" s="40"/>
      <c r="AJ14" s="27">
        <f>(K14*L14)+(N14*O14)+(Q14*R14)</f>
        <v>0</v>
      </c>
    </row>
    <row r="15" spans="1:40" x14ac:dyDescent="0.25">
      <c r="A15" s="30">
        <f t="shared" si="6"/>
        <v>46142</v>
      </c>
      <c r="B15" s="73"/>
      <c r="C15" s="31"/>
      <c r="D15" s="73"/>
      <c r="E15" s="57"/>
      <c r="F15" s="73"/>
      <c r="G15" s="57"/>
      <c r="H15" s="90">
        <f>B15+D15+F15</f>
        <v>0</v>
      </c>
      <c r="I15" s="34">
        <f>C15+E15+G15</f>
        <v>0</v>
      </c>
      <c r="J15" s="25"/>
      <c r="K15" s="35"/>
      <c r="L15" s="74"/>
      <c r="M15" s="32"/>
      <c r="N15" s="33"/>
      <c r="O15" s="86"/>
      <c r="P15" s="32"/>
      <c r="Q15" s="33"/>
      <c r="R15" s="86"/>
      <c r="S15" s="98">
        <f t="shared" si="7"/>
        <v>0</v>
      </c>
      <c r="T15" s="99">
        <f t="shared" si="8"/>
        <v>0</v>
      </c>
      <c r="U15" s="32">
        <f t="shared" si="9"/>
        <v>0</v>
      </c>
      <c r="V15" s="57">
        <f t="shared" si="10"/>
        <v>0</v>
      </c>
      <c r="W15" s="57">
        <f t="shared" si="11"/>
        <v>0</v>
      </c>
      <c r="X15" s="57">
        <f t="shared" si="12"/>
        <v>0</v>
      </c>
      <c r="Y15" s="114">
        <f t="shared" si="0"/>
        <v>0</v>
      </c>
      <c r="Z15" s="110">
        <f t="shared" si="1"/>
        <v>0</v>
      </c>
      <c r="AA15" s="36"/>
      <c r="AB15" s="37"/>
      <c r="AC15" s="21">
        <f t="shared" si="2"/>
        <v>0</v>
      </c>
      <c r="AD15" s="22">
        <f t="shared" si="3"/>
        <v>0</v>
      </c>
      <c r="AE15" s="38"/>
      <c r="AF15" s="39"/>
      <c r="AG15" s="22" t="str">
        <f t="shared" si="4"/>
        <v/>
      </c>
      <c r="AH15" s="22" t="str">
        <f t="shared" si="5"/>
        <v/>
      </c>
      <c r="AI15" s="40"/>
      <c r="AJ15" s="27">
        <f>(K15*L15)+(N15*O15)+(Q15*R15)</f>
        <v>0</v>
      </c>
    </row>
    <row r="16" spans="1:40" x14ac:dyDescent="0.25">
      <c r="A16" s="30">
        <f t="shared" si="6"/>
        <v>46143</v>
      </c>
      <c r="B16" s="73"/>
      <c r="C16" s="31"/>
      <c r="D16" s="73"/>
      <c r="E16" s="57"/>
      <c r="F16" s="73"/>
      <c r="G16" s="57"/>
      <c r="H16" s="90">
        <f>B16+D16+F16</f>
        <v>0</v>
      </c>
      <c r="I16" s="34">
        <f>C16+E16+G16</f>
        <v>0</v>
      </c>
      <c r="J16" s="25"/>
      <c r="K16" s="35"/>
      <c r="L16" s="74"/>
      <c r="M16" s="32"/>
      <c r="N16" s="33"/>
      <c r="O16" s="86"/>
      <c r="P16" s="32"/>
      <c r="Q16" s="33"/>
      <c r="R16" s="86"/>
      <c r="S16" s="98">
        <f t="shared" si="7"/>
        <v>0</v>
      </c>
      <c r="T16" s="99">
        <f t="shared" si="8"/>
        <v>0</v>
      </c>
      <c r="U16" s="32">
        <f t="shared" si="9"/>
        <v>0</v>
      </c>
      <c r="V16" s="57">
        <f t="shared" si="10"/>
        <v>0</v>
      </c>
      <c r="W16" s="57">
        <f t="shared" si="11"/>
        <v>0</v>
      </c>
      <c r="X16" s="57">
        <f t="shared" si="12"/>
        <v>0</v>
      </c>
      <c r="Y16" s="114">
        <f t="shared" si="0"/>
        <v>0</v>
      </c>
      <c r="Z16" s="110">
        <f t="shared" si="1"/>
        <v>0</v>
      </c>
      <c r="AA16" s="36"/>
      <c r="AB16" s="37"/>
      <c r="AC16" s="21">
        <f t="shared" si="2"/>
        <v>0</v>
      </c>
      <c r="AD16" s="22">
        <f t="shared" si="3"/>
        <v>0</v>
      </c>
      <c r="AE16" s="38"/>
      <c r="AF16" s="39"/>
      <c r="AG16" s="22" t="str">
        <f t="shared" si="4"/>
        <v/>
      </c>
      <c r="AH16" s="22" t="str">
        <f t="shared" si="5"/>
        <v/>
      </c>
      <c r="AI16" s="40"/>
      <c r="AJ16" s="27">
        <f>(K16*L16)+(N16*O16)+(Q16*R16)</f>
        <v>0</v>
      </c>
    </row>
    <row r="17" spans="1:38" x14ac:dyDescent="0.25">
      <c r="A17" s="30">
        <f t="shared" si="6"/>
        <v>46144</v>
      </c>
      <c r="B17" s="73"/>
      <c r="C17" s="31"/>
      <c r="D17" s="73"/>
      <c r="E17" s="57"/>
      <c r="F17" s="73"/>
      <c r="G17" s="57"/>
      <c r="H17" s="90">
        <f>B17+D17+F17</f>
        <v>0</v>
      </c>
      <c r="I17" s="34">
        <f>C17+E17+G17</f>
        <v>0</v>
      </c>
      <c r="J17" s="25"/>
      <c r="K17" s="35"/>
      <c r="L17" s="74"/>
      <c r="M17" s="32"/>
      <c r="N17" s="33"/>
      <c r="O17" s="86"/>
      <c r="P17" s="32"/>
      <c r="Q17" s="33"/>
      <c r="R17" s="86"/>
      <c r="S17" s="98">
        <f t="shared" si="7"/>
        <v>0</v>
      </c>
      <c r="T17" s="99">
        <f t="shared" si="8"/>
        <v>0</v>
      </c>
      <c r="U17" s="32">
        <f t="shared" si="9"/>
        <v>0</v>
      </c>
      <c r="V17" s="57">
        <f t="shared" si="10"/>
        <v>0</v>
      </c>
      <c r="W17" s="57">
        <f t="shared" si="11"/>
        <v>0</v>
      </c>
      <c r="X17" s="57">
        <f t="shared" si="12"/>
        <v>0</v>
      </c>
      <c r="Y17" s="114">
        <f t="shared" si="0"/>
        <v>0</v>
      </c>
      <c r="Z17" s="110">
        <f t="shared" si="1"/>
        <v>0</v>
      </c>
      <c r="AA17" s="36"/>
      <c r="AB17" s="37"/>
      <c r="AC17" s="21">
        <f t="shared" si="2"/>
        <v>0</v>
      </c>
      <c r="AD17" s="22">
        <f t="shared" si="3"/>
        <v>0</v>
      </c>
      <c r="AE17" s="38"/>
      <c r="AF17" s="39"/>
      <c r="AG17" s="22" t="str">
        <f t="shared" si="4"/>
        <v/>
      </c>
      <c r="AH17" s="22" t="str">
        <f t="shared" si="5"/>
        <v/>
      </c>
      <c r="AI17" s="40"/>
      <c r="AJ17" s="27">
        <f>(K17*L17)+(N17*O17)+(Q17*R17)</f>
        <v>0</v>
      </c>
    </row>
    <row r="18" spans="1:38" x14ac:dyDescent="0.25">
      <c r="A18" s="30">
        <f t="shared" si="6"/>
        <v>46145</v>
      </c>
      <c r="B18" s="73"/>
      <c r="C18" s="31"/>
      <c r="D18" s="73"/>
      <c r="E18" s="57"/>
      <c r="F18" s="73"/>
      <c r="G18" s="57"/>
      <c r="H18" s="90">
        <f>B18+D18+F18</f>
        <v>0</v>
      </c>
      <c r="I18" s="34">
        <f>C18+E18+G18</f>
        <v>0</v>
      </c>
      <c r="J18" s="25"/>
      <c r="K18" s="35"/>
      <c r="L18" s="74"/>
      <c r="M18" s="32"/>
      <c r="N18" s="33"/>
      <c r="O18" s="86"/>
      <c r="P18" s="32"/>
      <c r="Q18" s="33"/>
      <c r="R18" s="86"/>
      <c r="S18" s="98">
        <f t="shared" si="7"/>
        <v>0</v>
      </c>
      <c r="T18" s="99">
        <f t="shared" si="8"/>
        <v>0</v>
      </c>
      <c r="U18" s="32">
        <f t="shared" si="9"/>
        <v>0</v>
      </c>
      <c r="V18" s="57">
        <f t="shared" si="10"/>
        <v>0</v>
      </c>
      <c r="W18" s="57">
        <f t="shared" si="11"/>
        <v>0</v>
      </c>
      <c r="X18" s="57">
        <f t="shared" si="12"/>
        <v>0</v>
      </c>
      <c r="Y18" s="114">
        <f t="shared" si="0"/>
        <v>0</v>
      </c>
      <c r="Z18" s="110">
        <f t="shared" si="1"/>
        <v>0</v>
      </c>
      <c r="AA18" s="36"/>
      <c r="AB18" s="37"/>
      <c r="AC18" s="21">
        <f t="shared" si="2"/>
        <v>0</v>
      </c>
      <c r="AD18" s="22">
        <f t="shared" si="3"/>
        <v>0</v>
      </c>
      <c r="AE18" s="38"/>
      <c r="AF18" s="39"/>
      <c r="AG18" s="22" t="str">
        <f t="shared" si="4"/>
        <v/>
      </c>
      <c r="AH18" s="22" t="str">
        <f t="shared" si="5"/>
        <v/>
      </c>
      <c r="AI18" s="40"/>
      <c r="AJ18" s="27">
        <f>(K18*L18)+(N18*O18)+(Q18*R18)</f>
        <v>0</v>
      </c>
    </row>
    <row r="19" spans="1:38" x14ac:dyDescent="0.25">
      <c r="A19" s="30">
        <f t="shared" si="6"/>
        <v>46146</v>
      </c>
      <c r="B19" s="73"/>
      <c r="C19" s="31"/>
      <c r="D19" s="73"/>
      <c r="E19" s="57"/>
      <c r="F19" s="73"/>
      <c r="G19" s="57"/>
      <c r="H19" s="90">
        <f>B19+D19+F19</f>
        <v>0</v>
      </c>
      <c r="I19" s="34">
        <f>C19+E19+G19</f>
        <v>0</v>
      </c>
      <c r="J19" s="25"/>
      <c r="K19" s="35"/>
      <c r="L19" s="74"/>
      <c r="M19" s="32"/>
      <c r="N19" s="33"/>
      <c r="O19" s="86"/>
      <c r="P19" s="32"/>
      <c r="Q19" s="33"/>
      <c r="R19" s="86"/>
      <c r="S19" s="98">
        <f t="shared" si="7"/>
        <v>0</v>
      </c>
      <c r="T19" s="99">
        <f t="shared" si="8"/>
        <v>0</v>
      </c>
      <c r="U19" s="32">
        <f t="shared" si="9"/>
        <v>0</v>
      </c>
      <c r="V19" s="57">
        <f t="shared" si="10"/>
        <v>0</v>
      </c>
      <c r="W19" s="57">
        <f t="shared" si="11"/>
        <v>0</v>
      </c>
      <c r="X19" s="57">
        <f t="shared" si="12"/>
        <v>0</v>
      </c>
      <c r="Y19" s="114">
        <f t="shared" si="0"/>
        <v>0</v>
      </c>
      <c r="Z19" s="110">
        <f t="shared" si="1"/>
        <v>0</v>
      </c>
      <c r="AA19" s="36"/>
      <c r="AB19" s="37"/>
      <c r="AC19" s="21">
        <f t="shared" si="2"/>
        <v>0</v>
      </c>
      <c r="AD19" s="22">
        <f t="shared" si="3"/>
        <v>0</v>
      </c>
      <c r="AE19" s="38"/>
      <c r="AF19" s="39"/>
      <c r="AG19" s="22" t="str">
        <f t="shared" si="4"/>
        <v/>
      </c>
      <c r="AH19" s="22" t="str">
        <f t="shared" si="5"/>
        <v/>
      </c>
      <c r="AI19" s="40"/>
      <c r="AJ19" s="27">
        <f>(K19*L19)+(N19*O19)+(Q19*R19)</f>
        <v>0</v>
      </c>
    </row>
    <row r="20" spans="1:38" x14ac:dyDescent="0.25">
      <c r="A20" s="30">
        <f t="shared" si="6"/>
        <v>46147</v>
      </c>
      <c r="B20" s="73"/>
      <c r="C20" s="31"/>
      <c r="D20" s="73"/>
      <c r="E20" s="57"/>
      <c r="F20" s="73"/>
      <c r="G20" s="57"/>
      <c r="H20" s="90">
        <f>B20+D20+F20</f>
        <v>0</v>
      </c>
      <c r="I20" s="34">
        <f>C20+E20+G20</f>
        <v>0</v>
      </c>
      <c r="J20" s="25"/>
      <c r="K20" s="35"/>
      <c r="L20" s="74"/>
      <c r="M20" s="32"/>
      <c r="N20" s="33"/>
      <c r="O20" s="86"/>
      <c r="P20" s="32"/>
      <c r="Q20" s="33"/>
      <c r="R20" s="86"/>
      <c r="S20" s="98">
        <f t="shared" si="7"/>
        <v>0</v>
      </c>
      <c r="T20" s="99">
        <f t="shared" si="8"/>
        <v>0</v>
      </c>
      <c r="U20" s="32">
        <f t="shared" si="9"/>
        <v>0</v>
      </c>
      <c r="V20" s="57">
        <f t="shared" si="10"/>
        <v>0</v>
      </c>
      <c r="W20" s="57">
        <f t="shared" si="11"/>
        <v>0</v>
      </c>
      <c r="X20" s="57">
        <f t="shared" si="12"/>
        <v>0</v>
      </c>
      <c r="Y20" s="114">
        <f t="shared" si="0"/>
        <v>0</v>
      </c>
      <c r="Z20" s="110">
        <f t="shared" si="1"/>
        <v>0</v>
      </c>
      <c r="AA20" s="36"/>
      <c r="AB20" s="37"/>
      <c r="AC20" s="21">
        <f t="shared" si="2"/>
        <v>0</v>
      </c>
      <c r="AD20" s="22">
        <f t="shared" si="3"/>
        <v>0</v>
      </c>
      <c r="AE20" s="38"/>
      <c r="AF20" s="39"/>
      <c r="AG20" s="22" t="str">
        <f t="shared" si="4"/>
        <v/>
      </c>
      <c r="AH20" s="22" t="str">
        <f t="shared" si="5"/>
        <v/>
      </c>
      <c r="AI20" s="40"/>
      <c r="AJ20" s="27">
        <f>(K20*L20)+(N20*O20)+(Q20*R20)</f>
        <v>0</v>
      </c>
    </row>
    <row r="21" spans="1:38" x14ac:dyDescent="0.25">
      <c r="A21" s="30">
        <f t="shared" si="6"/>
        <v>46148</v>
      </c>
      <c r="B21" s="73"/>
      <c r="C21" s="31"/>
      <c r="D21" s="73"/>
      <c r="E21" s="57"/>
      <c r="F21" s="73"/>
      <c r="G21" s="57"/>
      <c r="H21" s="90">
        <f>B21+D21+F21</f>
        <v>0</v>
      </c>
      <c r="I21" s="34">
        <f>C21+E21+G21</f>
        <v>0</v>
      </c>
      <c r="J21" s="25"/>
      <c r="K21" s="35"/>
      <c r="L21" s="74"/>
      <c r="M21" s="32"/>
      <c r="N21" s="33"/>
      <c r="O21" s="86"/>
      <c r="P21" s="32"/>
      <c r="Q21" s="33"/>
      <c r="R21" s="86"/>
      <c r="S21" s="98">
        <f t="shared" si="7"/>
        <v>0</v>
      </c>
      <c r="T21" s="99">
        <f t="shared" si="8"/>
        <v>0</v>
      </c>
      <c r="U21" s="32">
        <f t="shared" si="9"/>
        <v>0</v>
      </c>
      <c r="V21" s="57">
        <f t="shared" si="10"/>
        <v>0</v>
      </c>
      <c r="W21" s="57">
        <f t="shared" si="11"/>
        <v>0</v>
      </c>
      <c r="X21" s="57">
        <f t="shared" si="12"/>
        <v>0</v>
      </c>
      <c r="Y21" s="114">
        <f t="shared" si="0"/>
        <v>0</v>
      </c>
      <c r="Z21" s="110">
        <f t="shared" si="1"/>
        <v>0</v>
      </c>
      <c r="AA21" s="36"/>
      <c r="AB21" s="37"/>
      <c r="AC21" s="21">
        <f t="shared" si="2"/>
        <v>0</v>
      </c>
      <c r="AD21" s="22">
        <f t="shared" si="3"/>
        <v>0</v>
      </c>
      <c r="AE21" s="38"/>
      <c r="AF21" s="39"/>
      <c r="AG21" s="22" t="str">
        <f t="shared" si="4"/>
        <v/>
      </c>
      <c r="AH21" s="22" t="str">
        <f t="shared" si="5"/>
        <v/>
      </c>
      <c r="AI21" s="40"/>
      <c r="AJ21" s="27">
        <f>(K21*L21)+(N21*O21)+(Q21*R21)</f>
        <v>0</v>
      </c>
    </row>
    <row r="22" spans="1:38" x14ac:dyDescent="0.25">
      <c r="A22" s="30">
        <f t="shared" si="6"/>
        <v>46149</v>
      </c>
      <c r="B22" s="73"/>
      <c r="C22" s="31"/>
      <c r="D22" s="73"/>
      <c r="E22" s="57"/>
      <c r="F22" s="73"/>
      <c r="G22" s="57"/>
      <c r="H22" s="90">
        <f>B22+D22+F22</f>
        <v>0</v>
      </c>
      <c r="I22" s="34">
        <f>C22+E22+G22</f>
        <v>0</v>
      </c>
      <c r="J22" s="25"/>
      <c r="K22" s="35"/>
      <c r="L22" s="74"/>
      <c r="M22" s="32"/>
      <c r="N22" s="33"/>
      <c r="O22" s="86"/>
      <c r="P22" s="32"/>
      <c r="Q22" s="33"/>
      <c r="R22" s="86"/>
      <c r="S22" s="98">
        <f t="shared" si="7"/>
        <v>0</v>
      </c>
      <c r="T22" s="99">
        <f t="shared" si="8"/>
        <v>0</v>
      </c>
      <c r="U22" s="32">
        <f t="shared" si="9"/>
        <v>0</v>
      </c>
      <c r="V22" s="57">
        <f t="shared" si="10"/>
        <v>0</v>
      </c>
      <c r="W22" s="57">
        <f t="shared" si="11"/>
        <v>0</v>
      </c>
      <c r="X22" s="57">
        <f t="shared" si="12"/>
        <v>0</v>
      </c>
      <c r="Y22" s="114">
        <f t="shared" si="0"/>
        <v>0</v>
      </c>
      <c r="Z22" s="110">
        <f t="shared" si="1"/>
        <v>0</v>
      </c>
      <c r="AA22" s="36"/>
      <c r="AB22" s="37"/>
      <c r="AC22" s="21">
        <f t="shared" si="2"/>
        <v>0</v>
      </c>
      <c r="AD22" s="22">
        <f t="shared" si="3"/>
        <v>0</v>
      </c>
      <c r="AE22" s="38"/>
      <c r="AF22" s="39"/>
      <c r="AG22" s="22" t="str">
        <f t="shared" si="4"/>
        <v/>
      </c>
      <c r="AH22" s="22" t="str">
        <f t="shared" si="5"/>
        <v/>
      </c>
      <c r="AI22" s="40"/>
      <c r="AJ22" s="27">
        <f>(K22*L22)+(N22*O22)+(Q22*R22)</f>
        <v>0</v>
      </c>
    </row>
    <row r="23" spans="1:38" x14ac:dyDescent="0.25">
      <c r="A23" s="30">
        <f t="shared" si="6"/>
        <v>46150</v>
      </c>
      <c r="B23" s="73"/>
      <c r="C23" s="31"/>
      <c r="D23" s="73"/>
      <c r="E23" s="57"/>
      <c r="F23" s="73"/>
      <c r="G23" s="57"/>
      <c r="H23" s="90">
        <f>B23+D23+F23</f>
        <v>0</v>
      </c>
      <c r="I23" s="34">
        <f>C23+E23+G23</f>
        <v>0</v>
      </c>
      <c r="J23" s="25"/>
      <c r="K23" s="35"/>
      <c r="L23" s="74"/>
      <c r="M23" s="32"/>
      <c r="N23" s="33"/>
      <c r="O23" s="86"/>
      <c r="P23" s="32"/>
      <c r="Q23" s="33"/>
      <c r="R23" s="86"/>
      <c r="S23" s="98">
        <f t="shared" si="7"/>
        <v>0</v>
      </c>
      <c r="T23" s="99">
        <f t="shared" si="8"/>
        <v>0</v>
      </c>
      <c r="U23" s="32">
        <f t="shared" si="9"/>
        <v>0</v>
      </c>
      <c r="V23" s="57">
        <f t="shared" si="10"/>
        <v>0</v>
      </c>
      <c r="W23" s="57">
        <f t="shared" si="11"/>
        <v>0</v>
      </c>
      <c r="X23" s="57">
        <f t="shared" si="12"/>
        <v>0</v>
      </c>
      <c r="Y23" s="114">
        <f t="shared" si="0"/>
        <v>0</v>
      </c>
      <c r="Z23" s="110">
        <f t="shared" si="1"/>
        <v>0</v>
      </c>
      <c r="AA23" s="36"/>
      <c r="AB23" s="37"/>
      <c r="AC23" s="21">
        <f t="shared" si="2"/>
        <v>0</v>
      </c>
      <c r="AD23" s="22">
        <f t="shared" si="3"/>
        <v>0</v>
      </c>
      <c r="AE23" s="38"/>
      <c r="AF23" s="39"/>
      <c r="AG23" s="22" t="str">
        <f t="shared" si="4"/>
        <v/>
      </c>
      <c r="AH23" s="22" t="str">
        <f t="shared" si="5"/>
        <v/>
      </c>
      <c r="AI23" s="40"/>
      <c r="AJ23" s="27">
        <f>(K23*L23)+(N23*O23)+(Q23*R23)</f>
        <v>0</v>
      </c>
    </row>
    <row r="24" spans="1:38" x14ac:dyDescent="0.25">
      <c r="A24" s="30">
        <f t="shared" si="6"/>
        <v>46151</v>
      </c>
      <c r="B24" s="73"/>
      <c r="C24" s="31"/>
      <c r="D24" s="73"/>
      <c r="E24" s="57"/>
      <c r="F24" s="73"/>
      <c r="G24" s="57"/>
      <c r="H24" s="90">
        <f>B24+D24+F24</f>
        <v>0</v>
      </c>
      <c r="I24" s="34">
        <f>C24+E24+G24</f>
        <v>0</v>
      </c>
      <c r="J24" s="25"/>
      <c r="K24" s="35"/>
      <c r="L24" s="74"/>
      <c r="M24" s="32"/>
      <c r="N24" s="33"/>
      <c r="O24" s="86"/>
      <c r="P24" s="32"/>
      <c r="Q24" s="33"/>
      <c r="R24" s="86"/>
      <c r="S24" s="98">
        <f t="shared" si="7"/>
        <v>0</v>
      </c>
      <c r="T24" s="99">
        <f t="shared" si="8"/>
        <v>0</v>
      </c>
      <c r="U24" s="32">
        <f t="shared" si="9"/>
        <v>0</v>
      </c>
      <c r="V24" s="57">
        <f t="shared" si="10"/>
        <v>0</v>
      </c>
      <c r="W24" s="57">
        <f t="shared" si="11"/>
        <v>0</v>
      </c>
      <c r="X24" s="57">
        <f t="shared" si="12"/>
        <v>0</v>
      </c>
      <c r="Y24" s="114">
        <f t="shared" si="0"/>
        <v>0</v>
      </c>
      <c r="Z24" s="110">
        <f t="shared" si="1"/>
        <v>0</v>
      </c>
      <c r="AA24" s="36"/>
      <c r="AB24" s="37"/>
      <c r="AC24" s="21">
        <f t="shared" si="2"/>
        <v>0</v>
      </c>
      <c r="AD24" s="22">
        <f t="shared" si="3"/>
        <v>0</v>
      </c>
      <c r="AE24" s="38"/>
      <c r="AF24" s="39"/>
      <c r="AG24" s="22" t="str">
        <f t="shared" si="4"/>
        <v/>
      </c>
      <c r="AH24" s="22" t="str">
        <f t="shared" si="5"/>
        <v/>
      </c>
      <c r="AI24" s="40"/>
      <c r="AJ24" s="27">
        <f>(K24*L24)+(N24*O24)+(Q24*R24)</f>
        <v>0</v>
      </c>
    </row>
    <row r="25" spans="1:38" x14ac:dyDescent="0.25">
      <c r="A25" s="30">
        <f t="shared" si="6"/>
        <v>46152</v>
      </c>
      <c r="B25" s="73"/>
      <c r="C25" s="31"/>
      <c r="D25" s="73"/>
      <c r="E25" s="57"/>
      <c r="F25" s="73"/>
      <c r="G25" s="57"/>
      <c r="H25" s="90">
        <f>B25+D25+F25</f>
        <v>0</v>
      </c>
      <c r="I25" s="34">
        <f>C25+E25+G25</f>
        <v>0</v>
      </c>
      <c r="J25" s="25"/>
      <c r="K25" s="35"/>
      <c r="L25" s="74"/>
      <c r="M25" s="32"/>
      <c r="N25" s="33"/>
      <c r="O25" s="86"/>
      <c r="P25" s="32"/>
      <c r="Q25" s="32"/>
      <c r="R25" s="86"/>
      <c r="S25" s="98">
        <f t="shared" si="7"/>
        <v>0</v>
      </c>
      <c r="T25" s="99">
        <f t="shared" si="8"/>
        <v>0</v>
      </c>
      <c r="U25" s="32">
        <f t="shared" si="9"/>
        <v>0</v>
      </c>
      <c r="V25" s="57">
        <f t="shared" si="10"/>
        <v>0</v>
      </c>
      <c r="W25" s="57">
        <f t="shared" si="11"/>
        <v>0</v>
      </c>
      <c r="X25" s="57">
        <f t="shared" si="12"/>
        <v>0</v>
      </c>
      <c r="Y25" s="114">
        <f t="shared" si="0"/>
        <v>0</v>
      </c>
      <c r="Z25" s="110">
        <f t="shared" si="1"/>
        <v>0</v>
      </c>
      <c r="AA25" s="36"/>
      <c r="AB25" s="37"/>
      <c r="AC25" s="21">
        <f t="shared" si="2"/>
        <v>0</v>
      </c>
      <c r="AD25" s="22">
        <f t="shared" si="3"/>
        <v>0</v>
      </c>
      <c r="AE25" s="38"/>
      <c r="AF25" s="39"/>
      <c r="AG25" s="22" t="str">
        <f t="shared" si="4"/>
        <v/>
      </c>
      <c r="AH25" s="22" t="str">
        <f t="shared" si="5"/>
        <v/>
      </c>
      <c r="AI25" s="40"/>
      <c r="AJ25" s="27">
        <f>(K25*L25)+(N25*O25)+(Q25*R25)</f>
        <v>0</v>
      </c>
    </row>
    <row r="26" spans="1:38" x14ac:dyDescent="0.25">
      <c r="A26" s="30">
        <f t="shared" si="6"/>
        <v>46153</v>
      </c>
      <c r="B26" s="73"/>
      <c r="C26" s="31"/>
      <c r="D26" s="73"/>
      <c r="E26" s="57"/>
      <c r="F26" s="73"/>
      <c r="G26" s="57"/>
      <c r="H26" s="90">
        <f>B26+D26+F26</f>
        <v>0</v>
      </c>
      <c r="I26" s="34">
        <f>C26+E26+G26</f>
        <v>0</v>
      </c>
      <c r="J26" s="25"/>
      <c r="K26" s="35"/>
      <c r="L26" s="74"/>
      <c r="M26" s="32"/>
      <c r="N26" s="33"/>
      <c r="O26" s="86"/>
      <c r="P26" s="32"/>
      <c r="Q26" s="33"/>
      <c r="R26" s="86"/>
      <c r="S26" s="98">
        <f t="shared" si="7"/>
        <v>0</v>
      </c>
      <c r="T26" s="99">
        <f t="shared" si="8"/>
        <v>0</v>
      </c>
      <c r="U26" s="32">
        <f t="shared" si="9"/>
        <v>0</v>
      </c>
      <c r="V26" s="57">
        <f t="shared" si="10"/>
        <v>0</v>
      </c>
      <c r="W26" s="57">
        <f t="shared" si="11"/>
        <v>0</v>
      </c>
      <c r="X26" s="57">
        <f t="shared" si="12"/>
        <v>0</v>
      </c>
      <c r="Y26" s="114">
        <f t="shared" si="0"/>
        <v>0</v>
      </c>
      <c r="Z26" s="110">
        <f t="shared" si="1"/>
        <v>0</v>
      </c>
      <c r="AA26" s="36"/>
      <c r="AB26" s="37"/>
      <c r="AC26" s="21">
        <f t="shared" si="2"/>
        <v>0</v>
      </c>
      <c r="AD26" s="22">
        <f t="shared" si="3"/>
        <v>0</v>
      </c>
      <c r="AE26" s="38"/>
      <c r="AF26" s="39"/>
      <c r="AG26" s="22" t="str">
        <f t="shared" si="4"/>
        <v/>
      </c>
      <c r="AH26" s="22" t="str">
        <f t="shared" si="5"/>
        <v/>
      </c>
      <c r="AI26" s="40"/>
      <c r="AJ26" s="27">
        <f>(K26*L26)+(N26*O26)+(Q26*R26)</f>
        <v>0</v>
      </c>
    </row>
    <row r="27" spans="1:38" x14ac:dyDescent="0.25">
      <c r="A27" s="30">
        <f t="shared" si="6"/>
        <v>46154</v>
      </c>
      <c r="B27" s="73"/>
      <c r="C27" s="31"/>
      <c r="D27" s="73"/>
      <c r="E27" s="57"/>
      <c r="F27" s="73"/>
      <c r="G27" s="57"/>
      <c r="H27" s="90">
        <f>B27+D27+F27</f>
        <v>0</v>
      </c>
      <c r="I27" s="34">
        <f>C27+E27+G27</f>
        <v>0</v>
      </c>
      <c r="J27" s="25"/>
      <c r="K27" s="35"/>
      <c r="L27" s="74"/>
      <c r="M27" s="32"/>
      <c r="N27" s="33"/>
      <c r="O27" s="86"/>
      <c r="P27" s="32"/>
      <c r="Q27" s="33"/>
      <c r="R27" s="86"/>
      <c r="S27" s="98">
        <f t="shared" si="7"/>
        <v>0</v>
      </c>
      <c r="T27" s="99">
        <f t="shared" si="8"/>
        <v>0</v>
      </c>
      <c r="U27" s="32">
        <f t="shared" si="9"/>
        <v>0</v>
      </c>
      <c r="V27" s="57">
        <f t="shared" si="10"/>
        <v>0</v>
      </c>
      <c r="W27" s="57">
        <f t="shared" si="11"/>
        <v>0</v>
      </c>
      <c r="X27" s="57">
        <f t="shared" si="12"/>
        <v>0</v>
      </c>
      <c r="Y27" s="114">
        <f t="shared" si="0"/>
        <v>0</v>
      </c>
      <c r="Z27" s="110">
        <f t="shared" si="1"/>
        <v>0</v>
      </c>
      <c r="AA27" s="36"/>
      <c r="AB27" s="37"/>
      <c r="AC27" s="21">
        <f t="shared" si="2"/>
        <v>0</v>
      </c>
      <c r="AD27" s="22">
        <f t="shared" si="3"/>
        <v>0</v>
      </c>
      <c r="AE27" s="38"/>
      <c r="AF27" s="39"/>
      <c r="AG27" s="22" t="str">
        <f t="shared" si="4"/>
        <v/>
      </c>
      <c r="AH27" s="22" t="str">
        <f t="shared" si="5"/>
        <v/>
      </c>
      <c r="AI27" s="40"/>
      <c r="AJ27" s="27">
        <f>(K27*L27)+(N27*O27)+(Q27*R27)</f>
        <v>0</v>
      </c>
    </row>
    <row r="28" spans="1:38" x14ac:dyDescent="0.25">
      <c r="A28" s="30">
        <f t="shared" si="6"/>
        <v>46155</v>
      </c>
      <c r="B28" s="73"/>
      <c r="C28" s="31"/>
      <c r="D28" s="73"/>
      <c r="E28" s="57"/>
      <c r="F28" s="73"/>
      <c r="G28" s="57"/>
      <c r="H28" s="90">
        <f>B28+D28+F28</f>
        <v>0</v>
      </c>
      <c r="I28" s="34">
        <f>C28+E28+G28</f>
        <v>0</v>
      </c>
      <c r="J28" s="25"/>
      <c r="K28" s="35"/>
      <c r="L28" s="74"/>
      <c r="M28" s="32"/>
      <c r="N28" s="33"/>
      <c r="O28" s="86"/>
      <c r="P28" s="32"/>
      <c r="Q28" s="33"/>
      <c r="R28" s="86"/>
      <c r="S28" s="98">
        <f t="shared" si="7"/>
        <v>0</v>
      </c>
      <c r="T28" s="99">
        <f t="shared" si="8"/>
        <v>0</v>
      </c>
      <c r="U28" s="32">
        <f t="shared" si="9"/>
        <v>0</v>
      </c>
      <c r="V28" s="57">
        <f t="shared" si="10"/>
        <v>0</v>
      </c>
      <c r="W28" s="57">
        <f t="shared" si="11"/>
        <v>0</v>
      </c>
      <c r="X28" s="57">
        <f t="shared" si="12"/>
        <v>0</v>
      </c>
      <c r="Y28" s="114">
        <f t="shared" si="0"/>
        <v>0</v>
      </c>
      <c r="Z28" s="110">
        <f t="shared" si="1"/>
        <v>0</v>
      </c>
      <c r="AA28" s="36"/>
      <c r="AB28" s="37"/>
      <c r="AC28" s="21">
        <f t="shared" si="2"/>
        <v>0</v>
      </c>
      <c r="AD28" s="22">
        <f t="shared" si="3"/>
        <v>0</v>
      </c>
      <c r="AE28" s="38"/>
      <c r="AF28" s="39"/>
      <c r="AG28" s="22" t="str">
        <f t="shared" si="4"/>
        <v/>
      </c>
      <c r="AH28" s="22" t="str">
        <f t="shared" si="5"/>
        <v/>
      </c>
      <c r="AI28" s="40"/>
      <c r="AJ28" s="27">
        <f>(K28*L28)+(N28*O28)+(Q28*R28)</f>
        <v>0</v>
      </c>
      <c r="AL28" s="41"/>
    </row>
    <row r="29" spans="1:38" x14ac:dyDescent="0.25">
      <c r="A29" s="30">
        <f t="shared" si="6"/>
        <v>46156</v>
      </c>
      <c r="B29" s="73"/>
      <c r="C29" s="31"/>
      <c r="D29" s="73"/>
      <c r="E29" s="57"/>
      <c r="F29" s="73"/>
      <c r="G29" s="57"/>
      <c r="H29" s="90">
        <f>B29+D29+F29</f>
        <v>0</v>
      </c>
      <c r="I29" s="34">
        <f>C29+E29+G29</f>
        <v>0</v>
      </c>
      <c r="J29" s="25"/>
      <c r="K29" s="35"/>
      <c r="L29" s="74"/>
      <c r="M29" s="32"/>
      <c r="N29" s="33"/>
      <c r="O29" s="86"/>
      <c r="P29" s="32"/>
      <c r="Q29" s="33"/>
      <c r="R29" s="86"/>
      <c r="S29" s="98">
        <f t="shared" si="7"/>
        <v>0</v>
      </c>
      <c r="T29" s="99">
        <f t="shared" si="8"/>
        <v>0</v>
      </c>
      <c r="U29" s="32">
        <f t="shared" si="9"/>
        <v>0</v>
      </c>
      <c r="V29" s="57">
        <f t="shared" si="10"/>
        <v>0</v>
      </c>
      <c r="W29" s="57">
        <f t="shared" si="11"/>
        <v>0</v>
      </c>
      <c r="X29" s="57">
        <f t="shared" si="12"/>
        <v>0</v>
      </c>
      <c r="Y29" s="114">
        <f t="shared" si="0"/>
        <v>0</v>
      </c>
      <c r="Z29" s="110">
        <f t="shared" si="1"/>
        <v>0</v>
      </c>
      <c r="AA29" s="36"/>
      <c r="AB29" s="37"/>
      <c r="AC29" s="21">
        <f t="shared" si="2"/>
        <v>0</v>
      </c>
      <c r="AD29" s="22">
        <f t="shared" si="3"/>
        <v>0</v>
      </c>
      <c r="AE29" s="38"/>
      <c r="AF29" s="39"/>
      <c r="AG29" s="22" t="str">
        <f t="shared" si="4"/>
        <v/>
      </c>
      <c r="AH29" s="22" t="str">
        <f t="shared" si="5"/>
        <v/>
      </c>
      <c r="AI29" s="40"/>
      <c r="AJ29" s="27">
        <f>(K29*L29)+(N29*O29)+(Q29*R29)</f>
        <v>0</v>
      </c>
      <c r="AL29" s="41"/>
    </row>
    <row r="30" spans="1:38" x14ac:dyDescent="0.25">
      <c r="A30" s="30">
        <f t="shared" si="6"/>
        <v>46157</v>
      </c>
      <c r="B30" s="73">
        <v>1</v>
      </c>
      <c r="C30" s="31">
        <v>0.04</v>
      </c>
      <c r="D30" s="73"/>
      <c r="E30" s="57"/>
      <c r="F30" s="73"/>
      <c r="G30" s="57"/>
      <c r="H30" s="90">
        <f>B30+D30+F30</f>
        <v>1</v>
      </c>
      <c r="I30" s="34">
        <f>C30+E30+G30</f>
        <v>0.04</v>
      </c>
      <c r="J30" s="25"/>
      <c r="K30" s="35"/>
      <c r="L30" s="74"/>
      <c r="M30" s="32"/>
      <c r="N30" s="33"/>
      <c r="O30" s="86"/>
      <c r="P30" s="32"/>
      <c r="Q30" s="33"/>
      <c r="R30" s="86"/>
      <c r="S30" s="98">
        <f t="shared" si="7"/>
        <v>1</v>
      </c>
      <c r="T30" s="99">
        <f t="shared" si="8"/>
        <v>0.04</v>
      </c>
      <c r="U30" s="32">
        <f t="shared" si="9"/>
        <v>0</v>
      </c>
      <c r="V30" s="57">
        <f t="shared" si="10"/>
        <v>0</v>
      </c>
      <c r="W30" s="57">
        <f t="shared" si="11"/>
        <v>0</v>
      </c>
      <c r="X30" s="57">
        <f t="shared" si="12"/>
        <v>0</v>
      </c>
      <c r="Y30" s="114">
        <f t="shared" si="0"/>
        <v>0</v>
      </c>
      <c r="Z30" s="110">
        <f t="shared" si="1"/>
        <v>0</v>
      </c>
      <c r="AA30" s="36"/>
      <c r="AB30" s="37"/>
      <c r="AC30" s="21">
        <f t="shared" si="2"/>
        <v>1</v>
      </c>
      <c r="AD30" s="22">
        <f t="shared" si="3"/>
        <v>0.04</v>
      </c>
      <c r="AE30" s="38"/>
      <c r="AF30" s="39"/>
      <c r="AG30" s="22" t="str">
        <f t="shared" si="4"/>
        <v/>
      </c>
      <c r="AH30" s="22" t="str">
        <f t="shared" si="5"/>
        <v/>
      </c>
      <c r="AI30" s="40"/>
      <c r="AJ30" s="27">
        <f>(K30*L30)+(N30*O30)+(Q30*R30)</f>
        <v>0</v>
      </c>
      <c r="AL30" s="41"/>
    </row>
    <row r="31" spans="1:38" x14ac:dyDescent="0.25">
      <c r="A31" s="30">
        <f t="shared" si="6"/>
        <v>46158</v>
      </c>
      <c r="B31" s="73">
        <v>1</v>
      </c>
      <c r="C31" s="31">
        <v>0.04</v>
      </c>
      <c r="D31" s="73"/>
      <c r="E31" s="57"/>
      <c r="F31" s="73"/>
      <c r="G31" s="57"/>
      <c r="H31" s="90">
        <f>B31+D31+F31</f>
        <v>1</v>
      </c>
      <c r="I31" s="34">
        <f>C31+E31+G31</f>
        <v>0.04</v>
      </c>
      <c r="J31" s="25"/>
      <c r="K31" s="35"/>
      <c r="L31" s="74"/>
      <c r="M31" s="32"/>
      <c r="N31" s="33"/>
      <c r="O31" s="86"/>
      <c r="P31" s="32"/>
      <c r="Q31" s="33"/>
      <c r="R31" s="86"/>
      <c r="S31" s="98">
        <f t="shared" si="7"/>
        <v>2</v>
      </c>
      <c r="T31" s="99">
        <f t="shared" si="8"/>
        <v>0.08</v>
      </c>
      <c r="U31" s="32">
        <f t="shared" si="9"/>
        <v>0</v>
      </c>
      <c r="V31" s="57">
        <f t="shared" si="10"/>
        <v>0</v>
      </c>
      <c r="W31" s="57">
        <f t="shared" si="11"/>
        <v>0</v>
      </c>
      <c r="X31" s="57">
        <f t="shared" si="12"/>
        <v>0</v>
      </c>
      <c r="Y31" s="114">
        <f t="shared" si="0"/>
        <v>0</v>
      </c>
      <c r="Z31" s="110">
        <f t="shared" si="1"/>
        <v>0</v>
      </c>
      <c r="AA31" s="36"/>
      <c r="AB31" s="37"/>
      <c r="AC31" s="21">
        <f t="shared" ref="AC31:AC94" si="13">S31+Y31-AA31</f>
        <v>2</v>
      </c>
      <c r="AD31" s="22">
        <f t="shared" ref="AD31:AD94" si="14">T31+Z31-AB31</f>
        <v>0.08</v>
      </c>
      <c r="AE31" s="38"/>
      <c r="AF31" s="39"/>
      <c r="AG31" s="22" t="str">
        <f t="shared" si="4"/>
        <v/>
      </c>
      <c r="AH31" s="22" t="str">
        <f t="shared" si="5"/>
        <v/>
      </c>
      <c r="AI31" s="40"/>
      <c r="AJ31" s="27">
        <f>(K31*L31)+(N31*O31)+(Q31*R31)</f>
        <v>0</v>
      </c>
      <c r="AL31" s="41"/>
    </row>
    <row r="32" spans="1:38" x14ac:dyDescent="0.25">
      <c r="A32" s="30">
        <f t="shared" si="6"/>
        <v>46159</v>
      </c>
      <c r="B32" s="73">
        <v>1</v>
      </c>
      <c r="C32" s="31">
        <v>0.04</v>
      </c>
      <c r="D32" s="73"/>
      <c r="E32" s="57"/>
      <c r="F32" s="73"/>
      <c r="G32" s="57"/>
      <c r="H32" s="90">
        <f>B32+D32+F32</f>
        <v>1</v>
      </c>
      <c r="I32" s="34">
        <f>C32+E32+G32</f>
        <v>0.04</v>
      </c>
      <c r="J32" s="25"/>
      <c r="K32" s="35"/>
      <c r="L32" s="74"/>
      <c r="M32" s="32"/>
      <c r="N32" s="33"/>
      <c r="O32" s="86"/>
      <c r="P32" s="32"/>
      <c r="Q32" s="33"/>
      <c r="R32" s="86"/>
      <c r="S32" s="98">
        <f t="shared" si="7"/>
        <v>3</v>
      </c>
      <c r="T32" s="99">
        <f t="shared" si="8"/>
        <v>0.12</v>
      </c>
      <c r="U32" s="32">
        <f t="shared" si="9"/>
        <v>0</v>
      </c>
      <c r="V32" s="57">
        <f t="shared" si="10"/>
        <v>0</v>
      </c>
      <c r="W32" s="57">
        <f t="shared" si="11"/>
        <v>0</v>
      </c>
      <c r="X32" s="57">
        <f t="shared" si="12"/>
        <v>0</v>
      </c>
      <c r="Y32" s="114">
        <f t="shared" si="0"/>
        <v>0</v>
      </c>
      <c r="Z32" s="110">
        <f t="shared" si="1"/>
        <v>0</v>
      </c>
      <c r="AA32" s="36"/>
      <c r="AB32" s="37"/>
      <c r="AC32" s="21">
        <f t="shared" si="13"/>
        <v>3</v>
      </c>
      <c r="AD32" s="22">
        <f t="shared" si="14"/>
        <v>0.12</v>
      </c>
      <c r="AE32" s="38"/>
      <c r="AF32" s="39"/>
      <c r="AG32" s="22" t="str">
        <f t="shared" si="4"/>
        <v/>
      </c>
      <c r="AH32" s="22" t="str">
        <f t="shared" si="5"/>
        <v/>
      </c>
      <c r="AI32" s="40"/>
      <c r="AJ32" s="27">
        <f>(K32*L32)+(N32*O32)+(Q32*R32)</f>
        <v>0</v>
      </c>
      <c r="AL32" s="41"/>
    </row>
    <row r="33" spans="1:38" x14ac:dyDescent="0.25">
      <c r="A33" s="30">
        <f t="shared" si="6"/>
        <v>46160</v>
      </c>
      <c r="B33" s="73">
        <v>1</v>
      </c>
      <c r="C33" s="31">
        <v>0.04</v>
      </c>
      <c r="D33" s="73"/>
      <c r="E33" s="57"/>
      <c r="F33" s="73"/>
      <c r="G33" s="57"/>
      <c r="H33" s="90">
        <f>B33+D33+F33</f>
        <v>1</v>
      </c>
      <c r="I33" s="34">
        <f>C33+E33+G33</f>
        <v>0.04</v>
      </c>
      <c r="J33" s="25"/>
      <c r="K33" s="35"/>
      <c r="L33" s="74"/>
      <c r="M33" s="32"/>
      <c r="N33" s="33"/>
      <c r="O33" s="86"/>
      <c r="P33" s="32"/>
      <c r="Q33" s="33"/>
      <c r="R33" s="86"/>
      <c r="S33" s="98">
        <f t="shared" si="7"/>
        <v>4</v>
      </c>
      <c r="T33" s="99">
        <f t="shared" si="8"/>
        <v>0.16</v>
      </c>
      <c r="U33" s="32">
        <f t="shared" si="9"/>
        <v>0</v>
      </c>
      <c r="V33" s="57">
        <f t="shared" si="10"/>
        <v>0</v>
      </c>
      <c r="W33" s="57">
        <f t="shared" si="11"/>
        <v>0</v>
      </c>
      <c r="X33" s="57">
        <f t="shared" si="12"/>
        <v>0</v>
      </c>
      <c r="Y33" s="114">
        <f t="shared" si="0"/>
        <v>0</v>
      </c>
      <c r="Z33" s="110">
        <f t="shared" si="1"/>
        <v>0</v>
      </c>
      <c r="AA33" s="36"/>
      <c r="AB33" s="37"/>
      <c r="AC33" s="21">
        <f t="shared" si="13"/>
        <v>4</v>
      </c>
      <c r="AD33" s="22">
        <f t="shared" si="14"/>
        <v>0.16</v>
      </c>
      <c r="AE33" s="38"/>
      <c r="AF33" s="39"/>
      <c r="AG33" s="22" t="str">
        <f t="shared" si="4"/>
        <v/>
      </c>
      <c r="AH33" s="22" t="str">
        <f t="shared" si="5"/>
        <v/>
      </c>
      <c r="AI33" s="40"/>
      <c r="AJ33" s="27">
        <f>(K33*L33)+(N33*O33)+(Q33*R33)</f>
        <v>0</v>
      </c>
      <c r="AL33" s="41"/>
    </row>
    <row r="34" spans="1:38" x14ac:dyDescent="0.25">
      <c r="A34" s="30">
        <f t="shared" si="6"/>
        <v>46161</v>
      </c>
      <c r="B34" s="73"/>
      <c r="C34" s="31"/>
      <c r="D34" s="73"/>
      <c r="E34" s="57"/>
      <c r="F34" s="73"/>
      <c r="G34" s="57"/>
      <c r="H34" s="90">
        <f>B34+D34+F34</f>
        <v>0</v>
      </c>
      <c r="I34" s="34">
        <f>C34+E34+G34</f>
        <v>0</v>
      </c>
      <c r="J34" s="25"/>
      <c r="K34" s="35"/>
      <c r="L34" s="74"/>
      <c r="M34" s="32"/>
      <c r="N34" s="33"/>
      <c r="O34" s="86"/>
      <c r="P34" s="32"/>
      <c r="Q34" s="33"/>
      <c r="R34" s="86"/>
      <c r="S34" s="98">
        <f t="shared" si="7"/>
        <v>4</v>
      </c>
      <c r="T34" s="99">
        <f t="shared" si="8"/>
        <v>0.16</v>
      </c>
      <c r="U34" s="32">
        <f t="shared" si="9"/>
        <v>0</v>
      </c>
      <c r="V34" s="57">
        <f t="shared" si="10"/>
        <v>0</v>
      </c>
      <c r="W34" s="57">
        <f t="shared" si="11"/>
        <v>0</v>
      </c>
      <c r="X34" s="57">
        <f t="shared" si="12"/>
        <v>0</v>
      </c>
      <c r="Y34" s="114">
        <f t="shared" si="0"/>
        <v>0</v>
      </c>
      <c r="Z34" s="110">
        <f t="shared" si="1"/>
        <v>0</v>
      </c>
      <c r="AA34" s="36"/>
      <c r="AB34" s="37"/>
      <c r="AC34" s="21">
        <f t="shared" si="13"/>
        <v>4</v>
      </c>
      <c r="AD34" s="22">
        <f t="shared" si="14"/>
        <v>0.16</v>
      </c>
      <c r="AE34" s="38"/>
      <c r="AF34" s="39"/>
      <c r="AG34" s="22" t="str">
        <f t="shared" si="4"/>
        <v/>
      </c>
      <c r="AH34" s="22" t="str">
        <f t="shared" si="5"/>
        <v/>
      </c>
      <c r="AI34" s="40"/>
      <c r="AJ34" s="27">
        <f>(K34*L34)+(N34*O34)+(Q34*R34)</f>
        <v>0</v>
      </c>
      <c r="AL34" s="41"/>
    </row>
    <row r="35" spans="1:38" x14ac:dyDescent="0.25">
      <c r="A35" s="30">
        <f t="shared" si="6"/>
        <v>46162</v>
      </c>
      <c r="B35" s="73">
        <v>2</v>
      </c>
      <c r="C35" s="31">
        <v>0.1</v>
      </c>
      <c r="D35" s="73"/>
      <c r="E35" s="57"/>
      <c r="F35" s="73"/>
      <c r="G35" s="57"/>
      <c r="H35" s="90">
        <f>B35+D35+F35</f>
        <v>2</v>
      </c>
      <c r="I35" s="34">
        <f>C35+E35+G35</f>
        <v>0.1</v>
      </c>
      <c r="J35" s="25"/>
      <c r="K35" s="35"/>
      <c r="L35" s="74"/>
      <c r="M35" s="32"/>
      <c r="N35" s="33"/>
      <c r="O35" s="86"/>
      <c r="P35" s="32"/>
      <c r="Q35" s="33"/>
      <c r="R35" s="86"/>
      <c r="S35" s="98">
        <f t="shared" si="7"/>
        <v>6</v>
      </c>
      <c r="T35" s="99">
        <f t="shared" si="8"/>
        <v>0.26</v>
      </c>
      <c r="U35" s="32">
        <f t="shared" si="9"/>
        <v>0</v>
      </c>
      <c r="V35" s="57">
        <f t="shared" si="10"/>
        <v>0</v>
      </c>
      <c r="W35" s="57">
        <f t="shared" si="11"/>
        <v>0</v>
      </c>
      <c r="X35" s="57">
        <f t="shared" si="12"/>
        <v>0</v>
      </c>
      <c r="Y35" s="114">
        <f t="shared" si="0"/>
        <v>0</v>
      </c>
      <c r="Z35" s="110">
        <f t="shared" si="1"/>
        <v>0</v>
      </c>
      <c r="AA35" s="36"/>
      <c r="AB35" s="37"/>
      <c r="AC35" s="21">
        <f t="shared" si="13"/>
        <v>6</v>
      </c>
      <c r="AD35" s="22">
        <f t="shared" si="14"/>
        <v>0.26</v>
      </c>
      <c r="AE35" s="38"/>
      <c r="AF35" s="39"/>
      <c r="AG35" s="22" t="str">
        <f t="shared" si="4"/>
        <v/>
      </c>
      <c r="AH35" s="22" t="str">
        <f t="shared" si="5"/>
        <v/>
      </c>
      <c r="AI35" s="40"/>
      <c r="AJ35" s="27">
        <f>(K35*L35)+(N35*O35)+(Q35*R35)</f>
        <v>0</v>
      </c>
      <c r="AL35" s="41"/>
    </row>
    <row r="36" spans="1:38" x14ac:dyDescent="0.25">
      <c r="A36" s="30">
        <f t="shared" si="6"/>
        <v>46163</v>
      </c>
      <c r="B36" s="73">
        <v>3</v>
      </c>
      <c r="C36" s="31">
        <v>0.14000000000000001</v>
      </c>
      <c r="D36" s="73"/>
      <c r="E36" s="57"/>
      <c r="F36" s="73"/>
      <c r="G36" s="57"/>
      <c r="H36" s="90">
        <f>B36+D36+F36</f>
        <v>3</v>
      </c>
      <c r="I36" s="34">
        <f>C36+E36+G36</f>
        <v>0.14000000000000001</v>
      </c>
      <c r="J36" s="25"/>
      <c r="K36" s="35"/>
      <c r="L36" s="74"/>
      <c r="M36" s="32"/>
      <c r="N36" s="33"/>
      <c r="O36" s="86"/>
      <c r="P36" s="32"/>
      <c r="Q36" s="33"/>
      <c r="R36" s="86"/>
      <c r="S36" s="98">
        <f t="shared" si="7"/>
        <v>9</v>
      </c>
      <c r="T36" s="99">
        <f t="shared" si="8"/>
        <v>0.4</v>
      </c>
      <c r="U36" s="32">
        <f t="shared" si="9"/>
        <v>0</v>
      </c>
      <c r="V36" s="57">
        <f t="shared" si="10"/>
        <v>0</v>
      </c>
      <c r="W36" s="57">
        <f t="shared" si="11"/>
        <v>0</v>
      </c>
      <c r="X36" s="57">
        <f t="shared" si="12"/>
        <v>0</v>
      </c>
      <c r="Y36" s="114">
        <f t="shared" si="0"/>
        <v>0</v>
      </c>
      <c r="Z36" s="110">
        <f t="shared" si="1"/>
        <v>0</v>
      </c>
      <c r="AA36" s="36"/>
      <c r="AB36" s="37"/>
      <c r="AC36" s="21">
        <f t="shared" si="13"/>
        <v>9</v>
      </c>
      <c r="AD36" s="22">
        <f t="shared" si="14"/>
        <v>0.4</v>
      </c>
      <c r="AE36" s="38"/>
      <c r="AF36" s="39"/>
      <c r="AG36" s="22" t="str">
        <f t="shared" si="4"/>
        <v/>
      </c>
      <c r="AH36" s="22" t="str">
        <f t="shared" si="5"/>
        <v/>
      </c>
      <c r="AI36" s="40"/>
      <c r="AJ36" s="27">
        <f>(K36*L36)+(N36*O36)+(Q36*R36)</f>
        <v>0</v>
      </c>
      <c r="AL36" s="41"/>
    </row>
    <row r="37" spans="1:38" x14ac:dyDescent="0.25">
      <c r="A37" s="30">
        <f t="shared" si="6"/>
        <v>46164</v>
      </c>
      <c r="B37" s="73">
        <v>3</v>
      </c>
      <c r="C37" s="31">
        <v>0.15</v>
      </c>
      <c r="D37" s="73"/>
      <c r="E37" s="57"/>
      <c r="F37" s="73"/>
      <c r="G37" s="57"/>
      <c r="H37" s="90">
        <f>B37+D37+F37</f>
        <v>3</v>
      </c>
      <c r="I37" s="34">
        <f>C37+E37+G37</f>
        <v>0.15</v>
      </c>
      <c r="J37" s="25"/>
      <c r="K37" s="35"/>
      <c r="L37" s="74"/>
      <c r="M37" s="32"/>
      <c r="N37" s="33"/>
      <c r="O37" s="86"/>
      <c r="P37" s="32"/>
      <c r="Q37" s="33"/>
      <c r="R37" s="86"/>
      <c r="S37" s="98">
        <f t="shared" si="7"/>
        <v>12</v>
      </c>
      <c r="T37" s="99">
        <f t="shared" si="8"/>
        <v>0.55000000000000004</v>
      </c>
      <c r="U37" s="32">
        <f t="shared" si="9"/>
        <v>0</v>
      </c>
      <c r="V37" s="57">
        <f t="shared" si="10"/>
        <v>0</v>
      </c>
      <c r="W37" s="57">
        <f t="shared" si="11"/>
        <v>0</v>
      </c>
      <c r="X37" s="57">
        <f t="shared" si="12"/>
        <v>0</v>
      </c>
      <c r="Y37" s="114">
        <f t="shared" si="0"/>
        <v>0</v>
      </c>
      <c r="Z37" s="110">
        <f t="shared" si="1"/>
        <v>0</v>
      </c>
      <c r="AA37" s="36"/>
      <c r="AB37" s="37"/>
      <c r="AC37" s="21">
        <f t="shared" si="13"/>
        <v>12</v>
      </c>
      <c r="AD37" s="22">
        <f t="shared" si="14"/>
        <v>0.55000000000000004</v>
      </c>
      <c r="AE37" s="38"/>
      <c r="AF37" s="39"/>
      <c r="AG37" s="22" t="str">
        <f t="shared" si="4"/>
        <v/>
      </c>
      <c r="AH37" s="22" t="str">
        <f t="shared" si="5"/>
        <v/>
      </c>
      <c r="AI37" s="40"/>
      <c r="AJ37" s="27">
        <f>(K37*L37)+(N37*O37)+(Q37*R37)</f>
        <v>0</v>
      </c>
      <c r="AL37" s="41"/>
    </row>
    <row r="38" spans="1:38" x14ac:dyDescent="0.25">
      <c r="A38" s="30">
        <f t="shared" si="6"/>
        <v>46165</v>
      </c>
      <c r="B38" s="73">
        <v>7</v>
      </c>
      <c r="C38" s="31">
        <v>0.31</v>
      </c>
      <c r="D38" s="73"/>
      <c r="E38" s="57"/>
      <c r="F38" s="73">
        <v>1</v>
      </c>
      <c r="G38" s="57">
        <v>0.03</v>
      </c>
      <c r="H38" s="90">
        <f>B38+D38+F38</f>
        <v>8</v>
      </c>
      <c r="I38" s="34">
        <f>C38+E38+G38</f>
        <v>0.33999999999999997</v>
      </c>
      <c r="J38" s="25"/>
      <c r="K38" s="35"/>
      <c r="L38" s="74"/>
      <c r="M38" s="32"/>
      <c r="N38" s="33"/>
      <c r="O38" s="86"/>
      <c r="P38" s="32"/>
      <c r="Q38" s="33"/>
      <c r="R38" s="86"/>
      <c r="S38" s="98">
        <f t="shared" si="7"/>
        <v>19</v>
      </c>
      <c r="T38" s="99">
        <f t="shared" si="8"/>
        <v>0.8600000000000001</v>
      </c>
      <c r="U38" s="32">
        <f t="shared" si="9"/>
        <v>0</v>
      </c>
      <c r="V38" s="57">
        <f t="shared" si="10"/>
        <v>0</v>
      </c>
      <c r="W38" s="57">
        <f t="shared" si="11"/>
        <v>1</v>
      </c>
      <c r="X38" s="57">
        <f t="shared" si="12"/>
        <v>0.03</v>
      </c>
      <c r="Y38" s="114">
        <f t="shared" si="0"/>
        <v>1</v>
      </c>
      <c r="Z38" s="110">
        <f t="shared" si="1"/>
        <v>0.03</v>
      </c>
      <c r="AA38" s="36"/>
      <c r="AB38" s="37"/>
      <c r="AC38" s="21">
        <f t="shared" si="13"/>
        <v>20</v>
      </c>
      <c r="AD38" s="22">
        <f t="shared" si="14"/>
        <v>0.89000000000000012</v>
      </c>
      <c r="AE38" s="38"/>
      <c r="AF38" s="39"/>
      <c r="AG38" s="22" t="str">
        <f t="shared" si="4"/>
        <v/>
      </c>
      <c r="AH38" s="22" t="str">
        <f t="shared" si="5"/>
        <v/>
      </c>
      <c r="AI38" s="40"/>
      <c r="AJ38" s="27">
        <f>(K38*L38)+(N38*O38)+(Q38*R38)</f>
        <v>0</v>
      </c>
      <c r="AL38" s="41"/>
    </row>
    <row r="39" spans="1:38" x14ac:dyDescent="0.25">
      <c r="A39" s="30">
        <f t="shared" si="6"/>
        <v>46166</v>
      </c>
      <c r="B39" s="73">
        <v>9</v>
      </c>
      <c r="C39" s="31">
        <v>0.38</v>
      </c>
      <c r="D39" s="73"/>
      <c r="E39" s="57"/>
      <c r="F39" s="73"/>
      <c r="G39" s="57"/>
      <c r="H39" s="90">
        <f>B39+D39+F39</f>
        <v>9</v>
      </c>
      <c r="I39" s="34">
        <f>C39+E39+G39</f>
        <v>0.38</v>
      </c>
      <c r="J39" s="25"/>
      <c r="K39" s="35"/>
      <c r="L39" s="74"/>
      <c r="M39" s="32"/>
      <c r="N39" s="33"/>
      <c r="O39" s="86"/>
      <c r="P39" s="32"/>
      <c r="Q39" s="33"/>
      <c r="R39" s="86"/>
      <c r="S39" s="98">
        <f t="shared" si="7"/>
        <v>28</v>
      </c>
      <c r="T39" s="99">
        <f t="shared" si="8"/>
        <v>1.2400000000000002</v>
      </c>
      <c r="U39" s="32">
        <f t="shared" si="9"/>
        <v>0</v>
      </c>
      <c r="V39" s="57">
        <f t="shared" si="10"/>
        <v>0</v>
      </c>
      <c r="W39" s="57">
        <f t="shared" si="11"/>
        <v>1</v>
      </c>
      <c r="X39" s="57">
        <f t="shared" si="12"/>
        <v>0.03</v>
      </c>
      <c r="Y39" s="114">
        <f t="shared" si="0"/>
        <v>1</v>
      </c>
      <c r="Z39" s="110">
        <f t="shared" si="1"/>
        <v>0.03</v>
      </c>
      <c r="AA39" s="36"/>
      <c r="AB39" s="37"/>
      <c r="AC39" s="21">
        <f t="shared" si="13"/>
        <v>29</v>
      </c>
      <c r="AD39" s="22">
        <f t="shared" si="14"/>
        <v>1.2700000000000002</v>
      </c>
      <c r="AE39" s="38"/>
      <c r="AF39" s="39"/>
      <c r="AG39" s="22" t="str">
        <f t="shared" si="4"/>
        <v/>
      </c>
      <c r="AH39" s="22" t="str">
        <f t="shared" si="5"/>
        <v/>
      </c>
      <c r="AI39" s="40"/>
      <c r="AJ39" s="27">
        <f>(K39*L39)+(N39*O39)+(Q39*R39)</f>
        <v>0</v>
      </c>
      <c r="AL39" s="41"/>
    </row>
    <row r="40" spans="1:38" x14ac:dyDescent="0.25">
      <c r="A40" s="30">
        <f t="shared" si="6"/>
        <v>46167</v>
      </c>
      <c r="B40" s="73">
        <v>5</v>
      </c>
      <c r="C40" s="31">
        <v>0.21</v>
      </c>
      <c r="D40" s="73">
        <v>1</v>
      </c>
      <c r="E40" s="57">
        <v>0.03</v>
      </c>
      <c r="F40" s="73"/>
      <c r="G40" s="57"/>
      <c r="H40" s="90">
        <f>B40+D40+F40</f>
        <v>6</v>
      </c>
      <c r="I40" s="34">
        <f>C40+E40+G40</f>
        <v>0.24</v>
      </c>
      <c r="J40" s="25"/>
      <c r="K40" s="35"/>
      <c r="L40" s="74"/>
      <c r="M40" s="32"/>
      <c r="N40" s="33"/>
      <c r="O40" s="86"/>
      <c r="P40" s="32"/>
      <c r="Q40" s="33"/>
      <c r="R40" s="86"/>
      <c r="S40" s="98">
        <f t="shared" si="7"/>
        <v>33</v>
      </c>
      <c r="T40" s="99">
        <f t="shared" si="8"/>
        <v>1.4500000000000002</v>
      </c>
      <c r="U40" s="32">
        <f t="shared" si="9"/>
        <v>1</v>
      </c>
      <c r="V40" s="57">
        <f t="shared" si="10"/>
        <v>0.03</v>
      </c>
      <c r="W40" s="57">
        <f t="shared" si="11"/>
        <v>1</v>
      </c>
      <c r="X40" s="57">
        <f t="shared" si="12"/>
        <v>0.03</v>
      </c>
      <c r="Y40" s="114">
        <f t="shared" si="0"/>
        <v>2</v>
      </c>
      <c r="Z40" s="110">
        <f t="shared" si="1"/>
        <v>0.06</v>
      </c>
      <c r="AA40" s="36"/>
      <c r="AB40" s="37"/>
      <c r="AC40" s="21">
        <f t="shared" si="13"/>
        <v>35</v>
      </c>
      <c r="AD40" s="22">
        <f t="shared" si="14"/>
        <v>1.5100000000000002</v>
      </c>
      <c r="AE40" s="38"/>
      <c r="AF40" s="39"/>
      <c r="AG40" s="22" t="str">
        <f t="shared" si="4"/>
        <v/>
      </c>
      <c r="AH40" s="22" t="str">
        <f t="shared" si="5"/>
        <v/>
      </c>
      <c r="AI40" s="40"/>
      <c r="AJ40" s="27">
        <f>(K40*L40)+(N40*O40)+(Q40*R40)</f>
        <v>0</v>
      </c>
      <c r="AL40" s="41"/>
    </row>
    <row r="41" spans="1:38" x14ac:dyDescent="0.25">
      <c r="A41" s="30">
        <f t="shared" si="6"/>
        <v>46168</v>
      </c>
      <c r="B41" s="73">
        <v>15</v>
      </c>
      <c r="C41" s="31">
        <v>0.66</v>
      </c>
      <c r="D41" s="73">
        <v>1</v>
      </c>
      <c r="E41" s="57">
        <v>0.04</v>
      </c>
      <c r="F41" s="73">
        <v>1</v>
      </c>
      <c r="G41" s="57">
        <v>0.03</v>
      </c>
      <c r="H41" s="90">
        <f>B41+D41+F41</f>
        <v>17</v>
      </c>
      <c r="I41" s="34">
        <f>C41+E41+G41</f>
        <v>0.73000000000000009</v>
      </c>
      <c r="J41" s="25"/>
      <c r="K41" s="35"/>
      <c r="L41" s="74"/>
      <c r="M41" s="32"/>
      <c r="N41" s="33"/>
      <c r="O41" s="86"/>
      <c r="P41" s="32"/>
      <c r="Q41" s="33"/>
      <c r="R41" s="86"/>
      <c r="S41" s="98">
        <f t="shared" si="7"/>
        <v>48</v>
      </c>
      <c r="T41" s="99">
        <f t="shared" si="8"/>
        <v>2.1100000000000003</v>
      </c>
      <c r="U41" s="32">
        <f t="shared" si="9"/>
        <v>2</v>
      </c>
      <c r="V41" s="57">
        <f t="shared" si="10"/>
        <v>7.0000000000000007E-2</v>
      </c>
      <c r="W41" s="57">
        <f t="shared" si="11"/>
        <v>2</v>
      </c>
      <c r="X41" s="57">
        <f t="shared" si="12"/>
        <v>0.06</v>
      </c>
      <c r="Y41" s="114">
        <f t="shared" si="0"/>
        <v>4</v>
      </c>
      <c r="Z41" s="110">
        <f t="shared" si="1"/>
        <v>0.13</v>
      </c>
      <c r="AA41" s="36"/>
      <c r="AB41" s="37"/>
      <c r="AC41" s="21">
        <f t="shared" si="13"/>
        <v>52</v>
      </c>
      <c r="AD41" s="22">
        <f t="shared" si="14"/>
        <v>2.2400000000000002</v>
      </c>
      <c r="AE41" s="38"/>
      <c r="AF41" s="39"/>
      <c r="AG41" s="22" t="str">
        <f t="shared" si="4"/>
        <v/>
      </c>
      <c r="AH41" s="22" t="str">
        <f t="shared" si="5"/>
        <v/>
      </c>
      <c r="AI41" s="40"/>
      <c r="AJ41" s="27">
        <f>(K41*L41)+(N41*O41)+(Q41*R41)</f>
        <v>0</v>
      </c>
      <c r="AL41" s="41"/>
    </row>
    <row r="42" spans="1:38" x14ac:dyDescent="0.25">
      <c r="A42" s="30">
        <f t="shared" si="6"/>
        <v>46169</v>
      </c>
      <c r="B42" s="73">
        <v>21</v>
      </c>
      <c r="C42" s="31">
        <v>0.9</v>
      </c>
      <c r="D42" s="73"/>
      <c r="E42" s="57"/>
      <c r="F42" s="73">
        <v>1</v>
      </c>
      <c r="G42" s="57">
        <v>0.03</v>
      </c>
      <c r="H42" s="90">
        <f>B42+D42+F42</f>
        <v>22</v>
      </c>
      <c r="I42" s="34">
        <f>C42+E42+G42</f>
        <v>0.93</v>
      </c>
      <c r="J42" s="25"/>
      <c r="K42" s="35"/>
      <c r="L42" s="74"/>
      <c r="M42" s="32"/>
      <c r="N42" s="33"/>
      <c r="O42" s="86"/>
      <c r="P42" s="32"/>
      <c r="Q42" s="33"/>
      <c r="R42" s="86"/>
      <c r="S42" s="98">
        <f t="shared" si="7"/>
        <v>69</v>
      </c>
      <c r="T42" s="99">
        <f t="shared" si="8"/>
        <v>3.0100000000000002</v>
      </c>
      <c r="U42" s="32">
        <f t="shared" si="9"/>
        <v>2</v>
      </c>
      <c r="V42" s="57">
        <f t="shared" si="10"/>
        <v>7.0000000000000007E-2</v>
      </c>
      <c r="W42" s="57">
        <f t="shared" si="11"/>
        <v>3</v>
      </c>
      <c r="X42" s="57">
        <f t="shared" si="12"/>
        <v>0.09</v>
      </c>
      <c r="Y42" s="114">
        <f t="shared" si="0"/>
        <v>5</v>
      </c>
      <c r="Z42" s="110">
        <f t="shared" si="1"/>
        <v>0.16</v>
      </c>
      <c r="AA42" s="36"/>
      <c r="AB42" s="37"/>
      <c r="AC42" s="21">
        <f t="shared" si="13"/>
        <v>74</v>
      </c>
      <c r="AD42" s="22">
        <f t="shared" si="14"/>
        <v>3.1700000000000004</v>
      </c>
      <c r="AE42" s="38"/>
      <c r="AF42" s="39"/>
      <c r="AG42" s="22" t="str">
        <f t="shared" si="4"/>
        <v/>
      </c>
      <c r="AH42" s="22" t="str">
        <f t="shared" si="5"/>
        <v/>
      </c>
      <c r="AI42" s="40"/>
      <c r="AJ42" s="27">
        <f>(K42*L42)+(N42*O42)+(Q42*R42)</f>
        <v>0</v>
      </c>
      <c r="AL42" s="41"/>
    </row>
    <row r="43" spans="1:38" x14ac:dyDescent="0.25">
      <c r="A43" s="30">
        <f t="shared" si="6"/>
        <v>46170</v>
      </c>
      <c r="B43" s="73">
        <v>26</v>
      </c>
      <c r="C43" s="31">
        <v>1.18</v>
      </c>
      <c r="D43" s="73"/>
      <c r="E43" s="57"/>
      <c r="F43" s="73"/>
      <c r="G43" s="57"/>
      <c r="H43" s="90">
        <f>B43+D43+F43</f>
        <v>26</v>
      </c>
      <c r="I43" s="34">
        <f>C43+E43+G43</f>
        <v>1.18</v>
      </c>
      <c r="J43" s="25"/>
      <c r="K43" s="35"/>
      <c r="L43" s="74"/>
      <c r="M43" s="32"/>
      <c r="N43" s="33"/>
      <c r="O43" s="86"/>
      <c r="P43" s="32"/>
      <c r="Q43" s="33"/>
      <c r="R43" s="86"/>
      <c r="S43" s="98">
        <f t="shared" si="7"/>
        <v>95</v>
      </c>
      <c r="T43" s="99">
        <f t="shared" si="8"/>
        <v>4.1900000000000004</v>
      </c>
      <c r="U43" s="32">
        <f t="shared" si="9"/>
        <v>2</v>
      </c>
      <c r="V43" s="57">
        <f t="shared" si="10"/>
        <v>7.0000000000000007E-2</v>
      </c>
      <c r="W43" s="57">
        <f t="shared" si="11"/>
        <v>3</v>
      </c>
      <c r="X43" s="57">
        <f t="shared" si="12"/>
        <v>0.09</v>
      </c>
      <c r="Y43" s="114">
        <f t="shared" si="0"/>
        <v>5</v>
      </c>
      <c r="Z43" s="110">
        <f t="shared" si="1"/>
        <v>0.16</v>
      </c>
      <c r="AA43" s="36"/>
      <c r="AB43" s="37"/>
      <c r="AC43" s="21">
        <f t="shared" si="13"/>
        <v>100</v>
      </c>
      <c r="AD43" s="22">
        <f t="shared" si="14"/>
        <v>4.3500000000000005</v>
      </c>
      <c r="AE43" s="38"/>
      <c r="AF43" s="39"/>
      <c r="AG43" s="22" t="str">
        <f t="shared" si="4"/>
        <v/>
      </c>
      <c r="AH43" s="22" t="str">
        <f t="shared" si="5"/>
        <v/>
      </c>
      <c r="AI43" s="40"/>
      <c r="AJ43" s="27">
        <f>(K43*L43)+(N43*O43)+(Q43*R43)</f>
        <v>0</v>
      </c>
      <c r="AL43" s="41"/>
    </row>
    <row r="44" spans="1:38" x14ac:dyDescent="0.25">
      <c r="A44" s="30">
        <f t="shared" si="6"/>
        <v>46171</v>
      </c>
      <c r="B44" s="73">
        <v>39</v>
      </c>
      <c r="C44" s="31">
        <v>1.76</v>
      </c>
      <c r="D44" s="73"/>
      <c r="E44" s="57"/>
      <c r="F44" s="73"/>
      <c r="G44" s="57"/>
      <c r="H44" s="90">
        <f>B44+D44+F44</f>
        <v>39</v>
      </c>
      <c r="I44" s="34">
        <f>C44+E44+G44</f>
        <v>1.76</v>
      </c>
      <c r="J44" s="25"/>
      <c r="K44" s="35"/>
      <c r="L44" s="74"/>
      <c r="M44" s="32"/>
      <c r="N44" s="33"/>
      <c r="O44" s="86"/>
      <c r="P44" s="32"/>
      <c r="Q44" s="33"/>
      <c r="R44" s="86"/>
      <c r="S44" s="98">
        <f t="shared" si="7"/>
        <v>134</v>
      </c>
      <c r="T44" s="99">
        <f t="shared" si="8"/>
        <v>5.95</v>
      </c>
      <c r="U44" s="32">
        <f t="shared" si="9"/>
        <v>2</v>
      </c>
      <c r="V44" s="57">
        <f t="shared" si="10"/>
        <v>7.0000000000000007E-2</v>
      </c>
      <c r="W44" s="57">
        <f t="shared" si="11"/>
        <v>3</v>
      </c>
      <c r="X44" s="57">
        <f t="shared" si="12"/>
        <v>0.09</v>
      </c>
      <c r="Y44" s="114">
        <f t="shared" si="0"/>
        <v>5</v>
      </c>
      <c r="Z44" s="110">
        <f t="shared" si="1"/>
        <v>0.16</v>
      </c>
      <c r="AA44" s="36"/>
      <c r="AB44" s="37"/>
      <c r="AC44" s="21">
        <f t="shared" si="13"/>
        <v>139</v>
      </c>
      <c r="AD44" s="22">
        <f t="shared" si="14"/>
        <v>6.11</v>
      </c>
      <c r="AE44" s="38"/>
      <c r="AF44" s="39"/>
      <c r="AG44" s="22" t="str">
        <f t="shared" si="4"/>
        <v/>
      </c>
      <c r="AH44" s="22" t="str">
        <f t="shared" si="5"/>
        <v/>
      </c>
      <c r="AI44" s="40"/>
      <c r="AJ44" s="27">
        <f>(K44*L44)+(N44*O44)+(Q44*R44)</f>
        <v>0</v>
      </c>
      <c r="AL44" s="41"/>
    </row>
    <row r="45" spans="1:38" x14ac:dyDescent="0.25">
      <c r="A45" s="30">
        <f t="shared" si="6"/>
        <v>46172</v>
      </c>
      <c r="B45" s="73">
        <v>64</v>
      </c>
      <c r="C45" s="31">
        <v>2.93</v>
      </c>
      <c r="D45" s="73">
        <v>1</v>
      </c>
      <c r="E45" s="57">
        <v>0.05</v>
      </c>
      <c r="F45" s="73">
        <v>2</v>
      </c>
      <c r="G45" s="57">
        <v>0.06</v>
      </c>
      <c r="H45" s="90">
        <f>B45+D45+F45</f>
        <v>67</v>
      </c>
      <c r="I45" s="34">
        <f>C45+E45+G45</f>
        <v>3.04</v>
      </c>
      <c r="J45" s="25"/>
      <c r="K45" s="35"/>
      <c r="L45" s="74"/>
      <c r="M45" s="32"/>
      <c r="N45" s="33"/>
      <c r="O45" s="86"/>
      <c r="P45" s="32"/>
      <c r="Q45" s="33"/>
      <c r="R45" s="86"/>
      <c r="S45" s="98">
        <f t="shared" si="7"/>
        <v>198</v>
      </c>
      <c r="T45" s="99">
        <f t="shared" si="8"/>
        <v>8.8800000000000008</v>
      </c>
      <c r="U45" s="32">
        <f t="shared" si="9"/>
        <v>3</v>
      </c>
      <c r="V45" s="57">
        <f t="shared" si="10"/>
        <v>0.12000000000000001</v>
      </c>
      <c r="W45" s="57">
        <f t="shared" si="11"/>
        <v>5</v>
      </c>
      <c r="X45" s="57">
        <f t="shared" si="12"/>
        <v>0.15</v>
      </c>
      <c r="Y45" s="114">
        <f t="shared" si="0"/>
        <v>8</v>
      </c>
      <c r="Z45" s="110">
        <f t="shared" si="1"/>
        <v>0.27</v>
      </c>
      <c r="AA45" s="36"/>
      <c r="AB45" s="37"/>
      <c r="AC45" s="21">
        <f t="shared" si="13"/>
        <v>206</v>
      </c>
      <c r="AD45" s="22">
        <f t="shared" si="14"/>
        <v>9.15</v>
      </c>
      <c r="AE45" s="38"/>
      <c r="AF45" s="39"/>
      <c r="AG45" s="22" t="str">
        <f t="shared" si="4"/>
        <v/>
      </c>
      <c r="AH45" s="22" t="str">
        <f t="shared" si="5"/>
        <v/>
      </c>
      <c r="AI45" s="40"/>
      <c r="AJ45" s="27">
        <f>(K45*L45)+(N45*O45)+(Q45*R45)</f>
        <v>0</v>
      </c>
      <c r="AL45" s="41"/>
    </row>
    <row r="46" spans="1:38" x14ac:dyDescent="0.25">
      <c r="A46" s="30">
        <f t="shared" si="6"/>
        <v>46173</v>
      </c>
      <c r="B46" s="73">
        <v>93</v>
      </c>
      <c r="C46" s="31">
        <v>4.16</v>
      </c>
      <c r="D46" s="73">
        <v>3</v>
      </c>
      <c r="E46" s="57">
        <v>0.13</v>
      </c>
      <c r="F46" s="73">
        <v>3</v>
      </c>
      <c r="G46" s="57">
        <v>0.08</v>
      </c>
      <c r="H46" s="90">
        <f>B46+D46+F46</f>
        <v>99</v>
      </c>
      <c r="I46" s="34">
        <f>C46+E46+G46</f>
        <v>4.37</v>
      </c>
      <c r="J46" s="25"/>
      <c r="K46" s="35"/>
      <c r="L46" s="74"/>
      <c r="M46" s="32"/>
      <c r="N46" s="33"/>
      <c r="O46" s="86"/>
      <c r="P46" s="32"/>
      <c r="Q46" s="33"/>
      <c r="R46" s="86"/>
      <c r="S46" s="98">
        <f t="shared" si="7"/>
        <v>291</v>
      </c>
      <c r="T46" s="99">
        <f t="shared" si="8"/>
        <v>13.040000000000001</v>
      </c>
      <c r="U46" s="32">
        <f t="shared" si="9"/>
        <v>6</v>
      </c>
      <c r="V46" s="57">
        <f t="shared" si="10"/>
        <v>0.25</v>
      </c>
      <c r="W46" s="57">
        <f t="shared" si="11"/>
        <v>8</v>
      </c>
      <c r="X46" s="57">
        <f t="shared" si="12"/>
        <v>0.22999999999999998</v>
      </c>
      <c r="Y46" s="114">
        <f t="shared" si="0"/>
        <v>14</v>
      </c>
      <c r="Z46" s="110">
        <f t="shared" si="1"/>
        <v>0.48</v>
      </c>
      <c r="AA46" s="36"/>
      <c r="AB46" s="37"/>
      <c r="AC46" s="21">
        <f t="shared" si="13"/>
        <v>305</v>
      </c>
      <c r="AD46" s="22">
        <f t="shared" si="14"/>
        <v>13.520000000000001</v>
      </c>
      <c r="AE46" s="38"/>
      <c r="AF46" s="39"/>
      <c r="AG46" s="22" t="str">
        <f t="shared" si="4"/>
        <v/>
      </c>
      <c r="AH46" s="22" t="str">
        <f t="shared" si="5"/>
        <v/>
      </c>
      <c r="AI46" s="40"/>
      <c r="AJ46" s="27">
        <f>(K46*L46)+(N46*O46)+(Q46*R46)</f>
        <v>0</v>
      </c>
      <c r="AL46" s="41"/>
    </row>
    <row r="47" spans="1:38" x14ac:dyDescent="0.25">
      <c r="A47" s="30">
        <f t="shared" si="6"/>
        <v>46174</v>
      </c>
      <c r="B47" s="73">
        <v>166</v>
      </c>
      <c r="C47" s="31">
        <v>7.53</v>
      </c>
      <c r="D47" s="73">
        <v>2</v>
      </c>
      <c r="E47" s="57">
        <v>0.08</v>
      </c>
      <c r="F47" s="73">
        <v>10</v>
      </c>
      <c r="G47" s="57">
        <v>0.31</v>
      </c>
      <c r="H47" s="90">
        <f>B47+D47+F47</f>
        <v>178</v>
      </c>
      <c r="I47" s="34">
        <f>C47+E47+G47</f>
        <v>7.92</v>
      </c>
      <c r="J47" s="25"/>
      <c r="K47" s="35"/>
      <c r="L47" s="74"/>
      <c r="M47" s="32"/>
      <c r="N47" s="33"/>
      <c r="O47" s="86"/>
      <c r="P47" s="32"/>
      <c r="Q47" s="33"/>
      <c r="R47" s="86"/>
      <c r="S47" s="98">
        <f t="shared" si="7"/>
        <v>457</v>
      </c>
      <c r="T47" s="99">
        <f t="shared" si="8"/>
        <v>20.57</v>
      </c>
      <c r="U47" s="32">
        <f t="shared" si="9"/>
        <v>8</v>
      </c>
      <c r="V47" s="57">
        <f t="shared" si="10"/>
        <v>0.33</v>
      </c>
      <c r="W47" s="57">
        <f t="shared" si="11"/>
        <v>18</v>
      </c>
      <c r="X47" s="57">
        <f t="shared" si="12"/>
        <v>0.54</v>
      </c>
      <c r="Y47" s="114">
        <f t="shared" si="0"/>
        <v>26</v>
      </c>
      <c r="Z47" s="110">
        <f t="shared" si="1"/>
        <v>0.87000000000000011</v>
      </c>
      <c r="AA47" s="36"/>
      <c r="AB47" s="37"/>
      <c r="AC47" s="21">
        <f t="shared" si="13"/>
        <v>483</v>
      </c>
      <c r="AD47" s="22">
        <f t="shared" si="14"/>
        <v>21.44</v>
      </c>
      <c r="AE47" s="38"/>
      <c r="AF47" s="39"/>
      <c r="AG47" s="22" t="str">
        <f t="shared" si="4"/>
        <v/>
      </c>
      <c r="AH47" s="22" t="str">
        <f t="shared" si="5"/>
        <v/>
      </c>
      <c r="AI47" s="40"/>
      <c r="AJ47" s="27">
        <f>(K47*L47)+(N47*O47)+(Q47*R47)</f>
        <v>0</v>
      </c>
      <c r="AL47" s="41"/>
    </row>
    <row r="48" spans="1:38" x14ac:dyDescent="0.25">
      <c r="A48" s="30">
        <f t="shared" si="6"/>
        <v>46175</v>
      </c>
      <c r="B48" s="73">
        <v>276</v>
      </c>
      <c r="C48" s="31">
        <v>12.78</v>
      </c>
      <c r="D48" s="73">
        <v>7</v>
      </c>
      <c r="E48" s="57">
        <v>0.3</v>
      </c>
      <c r="F48" s="73">
        <v>11</v>
      </c>
      <c r="G48" s="57">
        <v>0.37</v>
      </c>
      <c r="H48" s="90">
        <f>B48+D48+F48</f>
        <v>294</v>
      </c>
      <c r="I48" s="34">
        <f>C48+E48+G48</f>
        <v>13.45</v>
      </c>
      <c r="J48" s="25"/>
      <c r="K48" s="35"/>
      <c r="L48" s="74"/>
      <c r="M48" s="32"/>
      <c r="N48" s="33"/>
      <c r="O48" s="86"/>
      <c r="P48" s="32"/>
      <c r="Q48" s="33"/>
      <c r="R48" s="86"/>
      <c r="S48" s="98">
        <f t="shared" si="7"/>
        <v>733</v>
      </c>
      <c r="T48" s="99">
        <f t="shared" si="8"/>
        <v>33.35</v>
      </c>
      <c r="U48" s="32">
        <f t="shared" si="9"/>
        <v>15</v>
      </c>
      <c r="V48" s="57">
        <f t="shared" si="10"/>
        <v>0.63</v>
      </c>
      <c r="W48" s="57">
        <f t="shared" si="11"/>
        <v>29</v>
      </c>
      <c r="X48" s="57">
        <f t="shared" si="12"/>
        <v>0.91</v>
      </c>
      <c r="Y48" s="114">
        <f t="shared" si="0"/>
        <v>44</v>
      </c>
      <c r="Z48" s="110">
        <f t="shared" si="1"/>
        <v>1.54</v>
      </c>
      <c r="AA48" s="36"/>
      <c r="AB48" s="37"/>
      <c r="AC48" s="21">
        <f t="shared" si="13"/>
        <v>777</v>
      </c>
      <c r="AD48" s="22">
        <f t="shared" si="14"/>
        <v>34.89</v>
      </c>
      <c r="AE48" s="38"/>
      <c r="AF48" s="39"/>
      <c r="AG48" s="22" t="str">
        <f t="shared" si="4"/>
        <v/>
      </c>
      <c r="AH48" s="22" t="str">
        <f t="shared" si="5"/>
        <v/>
      </c>
      <c r="AI48" s="40"/>
      <c r="AJ48" s="27">
        <f>(K48*L48)+(N48*O48)+(Q48*R48)</f>
        <v>0</v>
      </c>
      <c r="AL48" s="41"/>
    </row>
    <row r="49" spans="1:38" x14ac:dyDescent="0.25">
      <c r="A49" s="30">
        <f t="shared" si="6"/>
        <v>46176</v>
      </c>
      <c r="B49" s="73">
        <v>500</v>
      </c>
      <c r="C49" s="31">
        <v>22.7</v>
      </c>
      <c r="D49" s="73">
        <v>9</v>
      </c>
      <c r="E49" s="57">
        <v>0.4</v>
      </c>
      <c r="F49" s="73">
        <v>4</v>
      </c>
      <c r="G49" s="57">
        <v>0.1</v>
      </c>
      <c r="H49" s="90">
        <f>B49+D49+F49</f>
        <v>513</v>
      </c>
      <c r="I49" s="34">
        <f>C49+E49+G49</f>
        <v>23.2</v>
      </c>
      <c r="J49" s="25">
        <v>311</v>
      </c>
      <c r="K49" s="35">
        <v>16</v>
      </c>
      <c r="L49" s="74">
        <v>22000</v>
      </c>
      <c r="M49" s="32"/>
      <c r="N49" s="33"/>
      <c r="O49" s="86"/>
      <c r="P49" s="32"/>
      <c r="Q49" s="33"/>
      <c r="R49" s="86"/>
      <c r="S49" s="98">
        <f t="shared" si="7"/>
        <v>922</v>
      </c>
      <c r="T49" s="99">
        <f t="shared" si="8"/>
        <v>40.049999999999997</v>
      </c>
      <c r="U49" s="32">
        <f t="shared" si="9"/>
        <v>24</v>
      </c>
      <c r="V49" s="57">
        <f t="shared" si="10"/>
        <v>1.03</v>
      </c>
      <c r="W49" s="57">
        <f t="shared" si="11"/>
        <v>33</v>
      </c>
      <c r="X49" s="57">
        <f t="shared" si="12"/>
        <v>1.01</v>
      </c>
      <c r="Y49" s="114">
        <f t="shared" si="0"/>
        <v>57</v>
      </c>
      <c r="Z49" s="110">
        <f t="shared" si="1"/>
        <v>2.04</v>
      </c>
      <c r="AA49" s="36"/>
      <c r="AB49" s="37"/>
      <c r="AC49" s="21">
        <f t="shared" si="13"/>
        <v>979</v>
      </c>
      <c r="AD49" s="22">
        <f t="shared" si="14"/>
        <v>42.089999999999996</v>
      </c>
      <c r="AE49" s="38"/>
      <c r="AF49" s="39"/>
      <c r="AG49" s="22" t="str">
        <f t="shared" si="4"/>
        <v/>
      </c>
      <c r="AH49" s="22" t="str">
        <f t="shared" si="5"/>
        <v/>
      </c>
      <c r="AI49" s="40"/>
      <c r="AJ49" s="27">
        <f>(K49*L49)+(N49*O49)+(Q49*R49)</f>
        <v>352000</v>
      </c>
      <c r="AL49" s="41"/>
    </row>
    <row r="50" spans="1:38" x14ac:dyDescent="0.25">
      <c r="A50" s="30">
        <f>A49+1</f>
        <v>46177</v>
      </c>
      <c r="B50" s="73">
        <v>699</v>
      </c>
      <c r="C50" s="31">
        <v>31.6</v>
      </c>
      <c r="D50" s="73">
        <v>12</v>
      </c>
      <c r="E50" s="57">
        <v>0.5</v>
      </c>
      <c r="F50" s="73">
        <v>9</v>
      </c>
      <c r="G50" s="57">
        <v>0.3</v>
      </c>
      <c r="H50" s="90">
        <f>B50+D50+F50</f>
        <v>720</v>
      </c>
      <c r="I50" s="34">
        <f>C50+E50+G50</f>
        <v>32.4</v>
      </c>
      <c r="J50" s="25">
        <v>538</v>
      </c>
      <c r="K50" s="35">
        <v>24</v>
      </c>
      <c r="L50" s="74">
        <v>22000</v>
      </c>
      <c r="M50" s="32"/>
      <c r="N50" s="33"/>
      <c r="O50" s="86"/>
      <c r="P50" s="32"/>
      <c r="Q50" s="33"/>
      <c r="R50" s="86"/>
      <c r="S50" s="98">
        <f t="shared" si="7"/>
        <v>1083</v>
      </c>
      <c r="T50" s="99">
        <f t="shared" si="8"/>
        <v>47.65</v>
      </c>
      <c r="U50" s="32">
        <f t="shared" si="9"/>
        <v>36</v>
      </c>
      <c r="V50" s="57">
        <f t="shared" si="10"/>
        <v>1.53</v>
      </c>
      <c r="W50" s="57">
        <f t="shared" si="11"/>
        <v>42</v>
      </c>
      <c r="X50" s="57">
        <f t="shared" si="12"/>
        <v>1.31</v>
      </c>
      <c r="Y50" s="114">
        <f t="shared" si="0"/>
        <v>78</v>
      </c>
      <c r="Z50" s="110">
        <f t="shared" si="1"/>
        <v>2.84</v>
      </c>
      <c r="AA50" s="36"/>
      <c r="AB50" s="37"/>
      <c r="AC50" s="21">
        <f t="shared" si="13"/>
        <v>1161</v>
      </c>
      <c r="AD50" s="22">
        <f t="shared" si="14"/>
        <v>50.489999999999995</v>
      </c>
      <c r="AE50" s="38"/>
      <c r="AF50" s="39"/>
      <c r="AG50" s="22" t="str">
        <f t="shared" si="4"/>
        <v/>
      </c>
      <c r="AH50" s="22" t="str">
        <f t="shared" si="5"/>
        <v/>
      </c>
      <c r="AI50" s="40"/>
      <c r="AJ50" s="27">
        <f>(K50*L50)+(N50*O50)+(Q50*R50)</f>
        <v>528000</v>
      </c>
      <c r="AL50" s="41"/>
    </row>
    <row r="51" spans="1:38" x14ac:dyDescent="0.25">
      <c r="A51" s="30">
        <f t="shared" si="6"/>
        <v>46178</v>
      </c>
      <c r="B51" s="73">
        <v>1053</v>
      </c>
      <c r="C51" s="31">
        <v>48.1</v>
      </c>
      <c r="D51" s="73">
        <v>8</v>
      </c>
      <c r="E51" s="57">
        <v>0.3</v>
      </c>
      <c r="F51" s="73">
        <v>24</v>
      </c>
      <c r="G51" s="57">
        <v>0.8</v>
      </c>
      <c r="H51" s="90">
        <f>B51+D51+F51</f>
        <v>1085</v>
      </c>
      <c r="I51" s="34">
        <f>C51+E51+G51</f>
        <v>49.199999999999996</v>
      </c>
      <c r="J51" s="25">
        <v>194</v>
      </c>
      <c r="K51" s="35">
        <v>10</v>
      </c>
      <c r="L51" s="74">
        <v>22200</v>
      </c>
      <c r="M51" s="32"/>
      <c r="N51" s="33"/>
      <c r="O51" s="86"/>
      <c r="P51" s="32"/>
      <c r="Q51" s="33"/>
      <c r="R51" s="86"/>
      <c r="S51" s="98">
        <f t="shared" si="7"/>
        <v>1942</v>
      </c>
      <c r="T51" s="99">
        <f t="shared" si="8"/>
        <v>85.75</v>
      </c>
      <c r="U51" s="32">
        <f t="shared" si="9"/>
        <v>44</v>
      </c>
      <c r="V51" s="57">
        <f t="shared" si="10"/>
        <v>1.83</v>
      </c>
      <c r="W51" s="57">
        <f t="shared" si="11"/>
        <v>66</v>
      </c>
      <c r="X51" s="57">
        <f t="shared" si="12"/>
        <v>2.1100000000000003</v>
      </c>
      <c r="Y51" s="114">
        <f t="shared" si="0"/>
        <v>110</v>
      </c>
      <c r="Z51" s="110">
        <f t="shared" si="1"/>
        <v>3.9400000000000004</v>
      </c>
      <c r="AA51" s="36"/>
      <c r="AB51" s="37"/>
      <c r="AC51" s="21">
        <f t="shared" si="13"/>
        <v>2052</v>
      </c>
      <c r="AD51" s="22">
        <f t="shared" si="14"/>
        <v>89.69</v>
      </c>
      <c r="AE51" s="38"/>
      <c r="AF51" s="39"/>
      <c r="AG51" s="22" t="str">
        <f t="shared" si="4"/>
        <v/>
      </c>
      <c r="AH51" s="22" t="str">
        <f t="shared" si="5"/>
        <v/>
      </c>
      <c r="AI51" s="40"/>
      <c r="AJ51" s="27">
        <f>(K51*L51)+(N51*O51)+(Q51*R51)</f>
        <v>222000</v>
      </c>
      <c r="AL51" s="41"/>
    </row>
    <row r="52" spans="1:38" x14ac:dyDescent="0.25">
      <c r="A52" s="30">
        <f t="shared" si="6"/>
        <v>46179</v>
      </c>
      <c r="B52" s="73">
        <v>1500</v>
      </c>
      <c r="C52" s="31">
        <v>69</v>
      </c>
      <c r="D52" s="73">
        <v>26</v>
      </c>
      <c r="E52" s="57">
        <v>1</v>
      </c>
      <c r="F52" s="73">
        <v>15</v>
      </c>
      <c r="G52" s="57">
        <v>0.6</v>
      </c>
      <c r="H52" s="90">
        <f>B52+D52+F52</f>
        <v>1541</v>
      </c>
      <c r="I52" s="34">
        <f>C52+E52+G52</f>
        <v>70.599999999999994</v>
      </c>
      <c r="J52" s="25">
        <v>245</v>
      </c>
      <c r="K52" s="35">
        <v>11</v>
      </c>
      <c r="L52" s="74">
        <v>22200</v>
      </c>
      <c r="M52" s="32"/>
      <c r="N52" s="33"/>
      <c r="O52" s="86"/>
      <c r="P52" s="32"/>
      <c r="Q52" s="33"/>
      <c r="R52" s="86"/>
      <c r="S52" s="98">
        <f t="shared" si="7"/>
        <v>3197</v>
      </c>
      <c r="T52" s="99">
        <f t="shared" si="8"/>
        <v>143.75</v>
      </c>
      <c r="U52" s="32">
        <f t="shared" si="9"/>
        <v>70</v>
      </c>
      <c r="V52" s="57">
        <f t="shared" si="10"/>
        <v>2.83</v>
      </c>
      <c r="W52" s="57">
        <f t="shared" si="11"/>
        <v>81</v>
      </c>
      <c r="X52" s="57">
        <f t="shared" si="12"/>
        <v>2.7100000000000004</v>
      </c>
      <c r="Y52" s="114">
        <f t="shared" si="0"/>
        <v>151</v>
      </c>
      <c r="Z52" s="110">
        <f t="shared" si="1"/>
        <v>5.5400000000000009</v>
      </c>
      <c r="AA52" s="36"/>
      <c r="AB52" s="37"/>
      <c r="AC52" s="21">
        <f t="shared" si="13"/>
        <v>3348</v>
      </c>
      <c r="AD52" s="22">
        <f t="shared" si="14"/>
        <v>149.29</v>
      </c>
      <c r="AE52" s="38"/>
      <c r="AF52" s="39"/>
      <c r="AG52" s="22" t="str">
        <f t="shared" si="4"/>
        <v/>
      </c>
      <c r="AH52" s="22" t="str">
        <f t="shared" si="5"/>
        <v/>
      </c>
      <c r="AI52" s="40"/>
      <c r="AJ52" s="27">
        <f>(K52*L52)+(N52*O52)+(Q52*R52)</f>
        <v>244200</v>
      </c>
      <c r="AL52" s="41"/>
    </row>
    <row r="53" spans="1:38" x14ac:dyDescent="0.25">
      <c r="A53" s="30">
        <f t="shared" si="6"/>
        <v>46180</v>
      </c>
      <c r="B53" s="73">
        <v>1983</v>
      </c>
      <c r="C53" s="31">
        <v>94.1</v>
      </c>
      <c r="D53" s="73">
        <v>27</v>
      </c>
      <c r="E53" s="57">
        <v>1</v>
      </c>
      <c r="F53" s="73">
        <v>24</v>
      </c>
      <c r="G53" s="57">
        <v>0.9</v>
      </c>
      <c r="H53" s="90">
        <f>B53+D53+F53</f>
        <v>2034</v>
      </c>
      <c r="I53" s="34">
        <f>C53+E53+G53</f>
        <v>96</v>
      </c>
      <c r="J53" s="25"/>
      <c r="K53" s="25"/>
      <c r="L53" s="74"/>
      <c r="M53" s="32"/>
      <c r="N53" s="33"/>
      <c r="O53" s="86"/>
      <c r="P53" s="32"/>
      <c r="Q53" s="33"/>
      <c r="R53" s="86"/>
      <c r="S53" s="98">
        <f t="shared" si="7"/>
        <v>5180</v>
      </c>
      <c r="T53" s="99">
        <f t="shared" si="8"/>
        <v>237.85</v>
      </c>
      <c r="U53" s="32">
        <f t="shared" si="9"/>
        <v>97</v>
      </c>
      <c r="V53" s="57">
        <f t="shared" si="10"/>
        <v>3.83</v>
      </c>
      <c r="W53" s="57">
        <f t="shared" si="11"/>
        <v>105</v>
      </c>
      <c r="X53" s="57">
        <f t="shared" si="12"/>
        <v>3.6100000000000003</v>
      </c>
      <c r="Y53" s="114">
        <f t="shared" si="0"/>
        <v>202</v>
      </c>
      <c r="Z53" s="110">
        <f t="shared" si="1"/>
        <v>7.44</v>
      </c>
      <c r="AA53" s="36"/>
      <c r="AB53" s="37"/>
      <c r="AC53" s="21">
        <f t="shared" si="13"/>
        <v>5382</v>
      </c>
      <c r="AD53" s="22">
        <f t="shared" si="14"/>
        <v>245.29</v>
      </c>
      <c r="AE53" s="38"/>
      <c r="AF53" s="39"/>
      <c r="AG53" s="22" t="str">
        <f t="shared" si="4"/>
        <v/>
      </c>
      <c r="AH53" s="22" t="str">
        <f t="shared" si="5"/>
        <v/>
      </c>
      <c r="AI53" s="40"/>
      <c r="AJ53" s="27">
        <f>(K53*L53)+(N53*O53)+(Q53*R53)</f>
        <v>0</v>
      </c>
      <c r="AL53" s="41"/>
    </row>
    <row r="54" spans="1:38" x14ac:dyDescent="0.25">
      <c r="A54" s="30">
        <f t="shared" si="6"/>
        <v>46181</v>
      </c>
      <c r="B54" s="73">
        <v>2442</v>
      </c>
      <c r="C54" s="31">
        <v>114.1</v>
      </c>
      <c r="D54" s="73">
        <v>27</v>
      </c>
      <c r="E54" s="57">
        <v>1.2</v>
      </c>
      <c r="F54" s="73">
        <v>23</v>
      </c>
      <c r="G54" s="57">
        <v>0.8</v>
      </c>
      <c r="H54" s="90">
        <f>B54+D54+F54</f>
        <v>2492</v>
      </c>
      <c r="I54" s="34">
        <f>C54+E54+G54</f>
        <v>116.1</v>
      </c>
      <c r="J54" s="25">
        <v>231</v>
      </c>
      <c r="K54" s="35">
        <v>10</v>
      </c>
      <c r="L54" s="74">
        <v>22000</v>
      </c>
      <c r="M54" s="32"/>
      <c r="N54" s="33"/>
      <c r="O54" s="86"/>
      <c r="P54" s="32"/>
      <c r="Q54" s="33"/>
      <c r="R54" s="86"/>
      <c r="S54" s="98">
        <f t="shared" si="7"/>
        <v>7391</v>
      </c>
      <c r="T54" s="99">
        <f t="shared" si="8"/>
        <v>341.95</v>
      </c>
      <c r="U54" s="32">
        <f t="shared" si="9"/>
        <v>124</v>
      </c>
      <c r="V54" s="57">
        <f t="shared" si="10"/>
        <v>5.03</v>
      </c>
      <c r="W54" s="57">
        <f t="shared" si="11"/>
        <v>128</v>
      </c>
      <c r="X54" s="57">
        <f t="shared" si="12"/>
        <v>4.41</v>
      </c>
      <c r="Y54" s="114">
        <f t="shared" si="0"/>
        <v>252</v>
      </c>
      <c r="Z54" s="110">
        <f t="shared" si="1"/>
        <v>9.4400000000000013</v>
      </c>
      <c r="AA54" s="36"/>
      <c r="AB54" s="37"/>
      <c r="AC54" s="21">
        <f t="shared" si="13"/>
        <v>7643</v>
      </c>
      <c r="AD54" s="22">
        <f t="shared" si="14"/>
        <v>351.39</v>
      </c>
      <c r="AE54" s="38"/>
      <c r="AF54" s="39"/>
      <c r="AG54" s="22" t="str">
        <f t="shared" si="4"/>
        <v/>
      </c>
      <c r="AH54" s="22" t="str">
        <f t="shared" si="5"/>
        <v/>
      </c>
      <c r="AI54" s="40"/>
      <c r="AJ54" s="27">
        <f>(K54*L54)+(N54*O54)+(Q54*R54)</f>
        <v>220000</v>
      </c>
      <c r="AL54" s="41"/>
    </row>
    <row r="55" spans="1:38" x14ac:dyDescent="0.25">
      <c r="A55" s="30">
        <f t="shared" si="6"/>
        <v>46182</v>
      </c>
      <c r="B55" s="73">
        <v>2880</v>
      </c>
      <c r="C55" s="31">
        <v>137.5</v>
      </c>
      <c r="D55" s="73">
        <v>23</v>
      </c>
      <c r="E55" s="57">
        <v>1</v>
      </c>
      <c r="F55" s="73">
        <v>31</v>
      </c>
      <c r="G55" s="57">
        <v>1.2</v>
      </c>
      <c r="H55" s="90">
        <f>B55+D55+F55</f>
        <v>2934</v>
      </c>
      <c r="I55" s="34">
        <f>C55+E55+G55</f>
        <v>139.69999999999999</v>
      </c>
      <c r="J55" s="25">
        <v>454</v>
      </c>
      <c r="K55" s="35">
        <v>21</v>
      </c>
      <c r="L55" s="74">
        <v>22000</v>
      </c>
      <c r="M55" s="32"/>
      <c r="N55" s="33"/>
      <c r="O55" s="86"/>
      <c r="P55" s="32"/>
      <c r="Q55" s="33"/>
      <c r="R55" s="86"/>
      <c r="S55" s="98">
        <f t="shared" si="7"/>
        <v>9817</v>
      </c>
      <c r="T55" s="99">
        <f t="shared" si="8"/>
        <v>458.45</v>
      </c>
      <c r="U55" s="32">
        <f t="shared" si="9"/>
        <v>147</v>
      </c>
      <c r="V55" s="57">
        <f t="shared" si="10"/>
        <v>6.03</v>
      </c>
      <c r="W55" s="57">
        <f t="shared" si="11"/>
        <v>159</v>
      </c>
      <c r="X55" s="57">
        <f t="shared" si="12"/>
        <v>5.61</v>
      </c>
      <c r="Y55" s="114">
        <f t="shared" si="0"/>
        <v>306</v>
      </c>
      <c r="Z55" s="110">
        <f t="shared" si="1"/>
        <v>11.64</v>
      </c>
      <c r="AA55" s="36"/>
      <c r="AB55" s="37"/>
      <c r="AC55" s="21">
        <f t="shared" si="13"/>
        <v>10123</v>
      </c>
      <c r="AD55" s="22">
        <f t="shared" si="14"/>
        <v>470.09</v>
      </c>
      <c r="AE55" s="38"/>
      <c r="AF55" s="39"/>
      <c r="AG55" s="22" t="str">
        <f t="shared" si="4"/>
        <v/>
      </c>
      <c r="AH55" s="22" t="str">
        <f t="shared" si="5"/>
        <v/>
      </c>
      <c r="AI55" s="40"/>
      <c r="AJ55" s="27">
        <f>(K55*L55)+(N55*O55)+(Q55*R55)</f>
        <v>462000</v>
      </c>
      <c r="AL55" s="41"/>
    </row>
    <row r="56" spans="1:38" x14ac:dyDescent="0.25">
      <c r="A56" s="30">
        <f t="shared" si="6"/>
        <v>46183</v>
      </c>
      <c r="B56" s="73">
        <v>3210</v>
      </c>
      <c r="C56" s="31">
        <v>155</v>
      </c>
      <c r="D56" s="73">
        <v>27</v>
      </c>
      <c r="E56" s="57">
        <v>1.2</v>
      </c>
      <c r="F56" s="73">
        <v>33</v>
      </c>
      <c r="G56" s="57">
        <v>1.3</v>
      </c>
      <c r="H56" s="90">
        <f>B56+D56+F56</f>
        <v>3270</v>
      </c>
      <c r="I56" s="34">
        <f>C56+E56+G56</f>
        <v>157.5</v>
      </c>
      <c r="J56" s="25">
        <v>2991</v>
      </c>
      <c r="K56" s="35">
        <v>139.5</v>
      </c>
      <c r="L56" s="74">
        <v>21500</v>
      </c>
      <c r="M56" s="32"/>
      <c r="N56" s="33"/>
      <c r="O56" s="86"/>
      <c r="P56" s="32"/>
      <c r="Q56" s="33"/>
      <c r="R56" s="86"/>
      <c r="S56" s="98">
        <f t="shared" si="7"/>
        <v>10036</v>
      </c>
      <c r="T56" s="99">
        <f t="shared" si="8"/>
        <v>473.95</v>
      </c>
      <c r="U56" s="32">
        <f t="shared" si="9"/>
        <v>174</v>
      </c>
      <c r="V56" s="57">
        <f t="shared" si="10"/>
        <v>7.23</v>
      </c>
      <c r="W56" s="57">
        <f t="shared" si="11"/>
        <v>192</v>
      </c>
      <c r="X56" s="57">
        <f t="shared" si="12"/>
        <v>6.91</v>
      </c>
      <c r="Y56" s="114">
        <f t="shared" si="0"/>
        <v>366</v>
      </c>
      <c r="Z56" s="110">
        <f t="shared" si="1"/>
        <v>14.14</v>
      </c>
      <c r="AA56" s="36"/>
      <c r="AB56" s="37"/>
      <c r="AC56" s="21">
        <f t="shared" si="13"/>
        <v>10402</v>
      </c>
      <c r="AD56" s="22">
        <f t="shared" si="14"/>
        <v>488.09</v>
      </c>
      <c r="AE56" s="38"/>
      <c r="AF56" s="39"/>
      <c r="AG56" s="22" t="str">
        <f t="shared" si="4"/>
        <v/>
      </c>
      <c r="AH56" s="22" t="str">
        <f t="shared" si="5"/>
        <v/>
      </c>
      <c r="AI56" s="40">
        <v>21500</v>
      </c>
      <c r="AJ56" s="27">
        <f>(K56*L56)+(N56*O56)+(Q56*R56)</f>
        <v>2999250</v>
      </c>
      <c r="AL56" s="41"/>
    </row>
    <row r="57" spans="1:38" x14ac:dyDescent="0.25">
      <c r="A57" s="30">
        <v>46183</v>
      </c>
      <c r="B57" s="73"/>
      <c r="C57" s="31"/>
      <c r="D57" s="73"/>
      <c r="E57" s="57"/>
      <c r="F57" s="73"/>
      <c r="G57" s="57"/>
      <c r="H57" s="90"/>
      <c r="I57" s="34"/>
      <c r="J57" s="81">
        <v>4442</v>
      </c>
      <c r="K57" s="42">
        <v>202</v>
      </c>
      <c r="L57" s="75">
        <v>21500</v>
      </c>
      <c r="M57" s="32"/>
      <c r="N57" s="33"/>
      <c r="O57" s="86"/>
      <c r="P57" s="32"/>
      <c r="Q57" s="33"/>
      <c r="R57" s="86"/>
      <c r="S57" s="98">
        <f t="shared" si="7"/>
        <v>5594</v>
      </c>
      <c r="T57" s="99">
        <f t="shared" si="8"/>
        <v>271.95</v>
      </c>
      <c r="U57" s="32">
        <f t="shared" si="9"/>
        <v>174</v>
      </c>
      <c r="V57" s="57">
        <f t="shared" si="10"/>
        <v>7.23</v>
      </c>
      <c r="W57" s="57">
        <f t="shared" si="11"/>
        <v>192</v>
      </c>
      <c r="X57" s="57">
        <f t="shared" si="12"/>
        <v>6.91</v>
      </c>
      <c r="Y57" s="114">
        <f t="shared" si="0"/>
        <v>366</v>
      </c>
      <c r="Z57" s="110">
        <f t="shared" si="1"/>
        <v>14.14</v>
      </c>
      <c r="AA57" s="36"/>
      <c r="AB57" s="37"/>
      <c r="AC57" s="21">
        <f t="shared" si="13"/>
        <v>5960</v>
      </c>
      <c r="AD57" s="22">
        <f t="shared" si="14"/>
        <v>286.08999999999997</v>
      </c>
      <c r="AE57" s="38"/>
      <c r="AF57" s="39"/>
      <c r="AG57" s="22" t="str">
        <f t="shared" si="4"/>
        <v/>
      </c>
      <c r="AH57" s="22" t="str">
        <f t="shared" si="5"/>
        <v/>
      </c>
      <c r="AI57" s="40">
        <f t="shared" ref="AI57:AI58" si="15">AI56</f>
        <v>21500</v>
      </c>
      <c r="AJ57" s="27">
        <f>(K57*L57)+(N57*O57)+(Q57*R57)</f>
        <v>4343000</v>
      </c>
      <c r="AL57" s="41"/>
    </row>
    <row r="58" spans="1:38" x14ac:dyDescent="0.25">
      <c r="A58" s="30">
        <v>46183</v>
      </c>
      <c r="B58" s="73"/>
      <c r="C58" s="31"/>
      <c r="D58" s="73"/>
      <c r="E58" s="57"/>
      <c r="F58" s="73"/>
      <c r="G58" s="57"/>
      <c r="H58" s="90"/>
      <c r="I58" s="34"/>
      <c r="J58" s="82">
        <v>3092</v>
      </c>
      <c r="K58" s="43">
        <v>145.69999999999999</v>
      </c>
      <c r="L58" s="76">
        <v>20700</v>
      </c>
      <c r="M58" s="32"/>
      <c r="N58" s="33"/>
      <c r="O58" s="86"/>
      <c r="P58" s="32"/>
      <c r="Q58" s="33"/>
      <c r="R58" s="86"/>
      <c r="S58" s="98">
        <f t="shared" si="7"/>
        <v>2502</v>
      </c>
      <c r="T58" s="99">
        <f t="shared" si="8"/>
        <v>126.25</v>
      </c>
      <c r="U58" s="32">
        <f t="shared" si="9"/>
        <v>174</v>
      </c>
      <c r="V58" s="57">
        <f t="shared" si="10"/>
        <v>7.23</v>
      </c>
      <c r="W58" s="57">
        <f t="shared" si="11"/>
        <v>192</v>
      </c>
      <c r="X58" s="57">
        <f t="shared" si="12"/>
        <v>6.91</v>
      </c>
      <c r="Y58" s="114">
        <f t="shared" si="0"/>
        <v>366</v>
      </c>
      <c r="Z58" s="110">
        <f t="shared" si="1"/>
        <v>14.14</v>
      </c>
      <c r="AA58" s="36"/>
      <c r="AB58" s="37"/>
      <c r="AC58" s="21">
        <f t="shared" si="13"/>
        <v>2868</v>
      </c>
      <c r="AD58" s="22">
        <f t="shared" si="14"/>
        <v>140.38999999999999</v>
      </c>
      <c r="AE58" s="38"/>
      <c r="AF58" s="39"/>
      <c r="AG58" s="22" t="str">
        <f t="shared" si="4"/>
        <v/>
      </c>
      <c r="AH58" s="22" t="str">
        <f t="shared" si="5"/>
        <v/>
      </c>
      <c r="AI58" s="40">
        <f t="shared" si="15"/>
        <v>21500</v>
      </c>
      <c r="AJ58" s="27">
        <f>(K58*L58)+(N58*O58)+(Q58*R58)</f>
        <v>3015989.9999999995</v>
      </c>
      <c r="AL58" s="41"/>
    </row>
    <row r="59" spans="1:38" x14ac:dyDescent="0.25">
      <c r="A59" s="30">
        <f>A56+1</f>
        <v>46184</v>
      </c>
      <c r="B59" s="73">
        <v>3525</v>
      </c>
      <c r="C59" s="31">
        <v>172.1</v>
      </c>
      <c r="D59" s="73">
        <v>37</v>
      </c>
      <c r="E59" s="57">
        <v>1.6</v>
      </c>
      <c r="F59" s="73">
        <v>31</v>
      </c>
      <c r="G59" s="57">
        <v>1.1000000000000001</v>
      </c>
      <c r="H59" s="90">
        <f>B59+D59+F59</f>
        <v>3593</v>
      </c>
      <c r="I59" s="34">
        <f>C59+E59+G59</f>
        <v>174.79999999999998</v>
      </c>
      <c r="J59" s="25">
        <v>1090</v>
      </c>
      <c r="K59" s="35">
        <v>52</v>
      </c>
      <c r="L59" s="74">
        <v>22000</v>
      </c>
      <c r="M59" s="32"/>
      <c r="N59" s="33"/>
      <c r="O59" s="86"/>
      <c r="P59" s="32"/>
      <c r="Q59" s="33"/>
      <c r="R59" s="86"/>
      <c r="S59" s="98">
        <f t="shared" si="7"/>
        <v>4937</v>
      </c>
      <c r="T59" s="99">
        <f t="shared" si="8"/>
        <v>246.35</v>
      </c>
      <c r="U59" s="32">
        <f t="shared" si="9"/>
        <v>211</v>
      </c>
      <c r="V59" s="57">
        <f t="shared" si="10"/>
        <v>8.83</v>
      </c>
      <c r="W59" s="57">
        <f t="shared" si="11"/>
        <v>223</v>
      </c>
      <c r="X59" s="57">
        <f t="shared" si="12"/>
        <v>8.01</v>
      </c>
      <c r="Y59" s="114">
        <f t="shared" si="0"/>
        <v>434</v>
      </c>
      <c r="Z59" s="110">
        <f t="shared" si="1"/>
        <v>16.84</v>
      </c>
      <c r="AA59" s="36"/>
      <c r="AB59" s="37"/>
      <c r="AC59" s="21">
        <f t="shared" si="13"/>
        <v>5371</v>
      </c>
      <c r="AD59" s="22">
        <f t="shared" si="14"/>
        <v>263.19</v>
      </c>
      <c r="AE59" s="38"/>
      <c r="AF59" s="39"/>
      <c r="AG59" s="22" t="str">
        <f t="shared" si="4"/>
        <v/>
      </c>
      <c r="AH59" s="22" t="str">
        <f t="shared" si="5"/>
        <v/>
      </c>
      <c r="AI59" s="40">
        <v>21500</v>
      </c>
      <c r="AJ59" s="27">
        <f>(K59*L59)+(N59*O59)+(Q59*R59)</f>
        <v>1144000</v>
      </c>
      <c r="AL59" s="41"/>
    </row>
    <row r="60" spans="1:38" x14ac:dyDescent="0.25">
      <c r="A60" s="30">
        <f t="shared" si="6"/>
        <v>46185</v>
      </c>
      <c r="B60" s="73">
        <v>3720</v>
      </c>
      <c r="C60" s="31">
        <v>184.3</v>
      </c>
      <c r="D60" s="73">
        <v>32</v>
      </c>
      <c r="E60" s="57">
        <v>1.5</v>
      </c>
      <c r="F60" s="73">
        <v>25</v>
      </c>
      <c r="G60" s="57">
        <v>0.9</v>
      </c>
      <c r="H60" s="90">
        <f>B60+D60+F60</f>
        <v>3777</v>
      </c>
      <c r="I60" s="34">
        <f>C60+E60+G60</f>
        <v>186.70000000000002</v>
      </c>
      <c r="J60" s="25">
        <v>2678</v>
      </c>
      <c r="K60" s="35">
        <v>130</v>
      </c>
      <c r="L60" s="74">
        <v>22000</v>
      </c>
      <c r="M60" s="32"/>
      <c r="N60" s="33"/>
      <c r="O60" s="86"/>
      <c r="P60" s="32"/>
      <c r="Q60" s="33"/>
      <c r="R60" s="86"/>
      <c r="S60" s="98">
        <f t="shared" si="7"/>
        <v>5979</v>
      </c>
      <c r="T60" s="99">
        <f t="shared" si="8"/>
        <v>300.64999999999998</v>
      </c>
      <c r="U60" s="32">
        <f t="shared" si="9"/>
        <v>243</v>
      </c>
      <c r="V60" s="57">
        <f t="shared" si="10"/>
        <v>10.33</v>
      </c>
      <c r="W60" s="57">
        <f t="shared" si="11"/>
        <v>248</v>
      </c>
      <c r="X60" s="57">
        <f t="shared" si="12"/>
        <v>8.91</v>
      </c>
      <c r="Y60" s="114">
        <f t="shared" si="0"/>
        <v>491</v>
      </c>
      <c r="Z60" s="110">
        <f t="shared" si="1"/>
        <v>19.240000000000002</v>
      </c>
      <c r="AA60" s="36"/>
      <c r="AB60" s="37"/>
      <c r="AC60" s="21">
        <f t="shared" si="13"/>
        <v>6470</v>
      </c>
      <c r="AD60" s="22">
        <f t="shared" si="14"/>
        <v>319.89</v>
      </c>
      <c r="AE60" s="38"/>
      <c r="AF60" s="39"/>
      <c r="AG60" s="22" t="str">
        <f t="shared" si="4"/>
        <v/>
      </c>
      <c r="AH60" s="22" t="str">
        <f t="shared" si="5"/>
        <v/>
      </c>
      <c r="AI60" s="40">
        <v>21800</v>
      </c>
      <c r="AJ60" s="27">
        <f>(K60*L60)+(N60*O60)+(Q60*R60)</f>
        <v>2860000</v>
      </c>
      <c r="AL60" s="41"/>
    </row>
    <row r="61" spans="1:38" x14ac:dyDescent="0.25">
      <c r="A61" s="30">
        <f t="shared" si="6"/>
        <v>46186</v>
      </c>
      <c r="B61" s="73">
        <v>3961</v>
      </c>
      <c r="C61" s="31">
        <v>198</v>
      </c>
      <c r="D61" s="73">
        <v>45</v>
      </c>
      <c r="E61" s="57">
        <v>2.2000000000000002</v>
      </c>
      <c r="F61" s="73">
        <v>9</v>
      </c>
      <c r="G61" s="57">
        <v>0.3</v>
      </c>
      <c r="H61" s="90">
        <f>B61+D61+F61</f>
        <v>4015</v>
      </c>
      <c r="I61" s="34">
        <f>C61+E61+G61</f>
        <v>200.5</v>
      </c>
      <c r="J61" s="25">
        <v>2000</v>
      </c>
      <c r="K61" s="35">
        <v>108</v>
      </c>
      <c r="L61" s="74">
        <v>22300</v>
      </c>
      <c r="M61" s="32"/>
      <c r="N61" s="33"/>
      <c r="O61" s="86"/>
      <c r="P61" s="32"/>
      <c r="Q61" s="33"/>
      <c r="R61" s="86"/>
      <c r="S61" s="98">
        <f t="shared" si="7"/>
        <v>7940</v>
      </c>
      <c r="T61" s="99">
        <f t="shared" si="8"/>
        <v>390.65</v>
      </c>
      <c r="U61" s="32">
        <f t="shared" si="9"/>
        <v>288</v>
      </c>
      <c r="V61" s="57">
        <f t="shared" si="10"/>
        <v>12.530000000000001</v>
      </c>
      <c r="W61" s="57">
        <f t="shared" si="11"/>
        <v>257</v>
      </c>
      <c r="X61" s="57">
        <f t="shared" si="12"/>
        <v>9.2100000000000009</v>
      </c>
      <c r="Y61" s="114">
        <f t="shared" si="0"/>
        <v>545</v>
      </c>
      <c r="Z61" s="110">
        <f t="shared" si="1"/>
        <v>21.740000000000002</v>
      </c>
      <c r="AA61" s="36"/>
      <c r="AB61" s="37"/>
      <c r="AC61" s="21">
        <f t="shared" si="13"/>
        <v>8485</v>
      </c>
      <c r="AD61" s="22">
        <f t="shared" si="14"/>
        <v>412.39</v>
      </c>
      <c r="AE61" s="38"/>
      <c r="AF61" s="39"/>
      <c r="AG61" s="22" t="str">
        <f t="shared" si="4"/>
        <v/>
      </c>
      <c r="AH61" s="22" t="str">
        <f t="shared" si="5"/>
        <v/>
      </c>
      <c r="AI61" s="40">
        <v>21800</v>
      </c>
      <c r="AJ61" s="27">
        <f>(K61*L61)+(N61*O61)+(Q61*R61)</f>
        <v>2408400</v>
      </c>
      <c r="AL61" s="41"/>
    </row>
    <row r="62" spans="1:38" x14ac:dyDescent="0.25">
      <c r="A62" s="30">
        <v>46186</v>
      </c>
      <c r="B62" s="73"/>
      <c r="C62" s="31"/>
      <c r="D62" s="73"/>
      <c r="E62" s="57"/>
      <c r="F62" s="73"/>
      <c r="G62" s="57"/>
      <c r="H62" s="90"/>
      <c r="I62" s="34"/>
      <c r="J62" s="81">
        <v>597</v>
      </c>
      <c r="K62" s="42">
        <v>18</v>
      </c>
      <c r="L62" s="75">
        <v>22800</v>
      </c>
      <c r="M62" s="32"/>
      <c r="N62" s="33"/>
      <c r="O62" s="86"/>
      <c r="P62" s="32"/>
      <c r="Q62" s="33"/>
      <c r="R62" s="86"/>
      <c r="S62" s="98">
        <f t="shared" si="7"/>
        <v>7343</v>
      </c>
      <c r="T62" s="99">
        <f t="shared" si="8"/>
        <v>372.65</v>
      </c>
      <c r="U62" s="32">
        <f t="shared" si="9"/>
        <v>288</v>
      </c>
      <c r="V62" s="57">
        <f t="shared" si="10"/>
        <v>12.530000000000001</v>
      </c>
      <c r="W62" s="57">
        <f t="shared" si="11"/>
        <v>257</v>
      </c>
      <c r="X62" s="57">
        <f t="shared" si="12"/>
        <v>9.2100000000000009</v>
      </c>
      <c r="Y62" s="114">
        <f t="shared" si="0"/>
        <v>545</v>
      </c>
      <c r="Z62" s="110">
        <f t="shared" si="1"/>
        <v>21.740000000000002</v>
      </c>
      <c r="AA62" s="36"/>
      <c r="AB62" s="37"/>
      <c r="AC62" s="21">
        <f t="shared" si="13"/>
        <v>7888</v>
      </c>
      <c r="AD62" s="22">
        <f t="shared" si="14"/>
        <v>394.39</v>
      </c>
      <c r="AE62" s="38"/>
      <c r="AF62" s="39"/>
      <c r="AG62" s="22" t="str">
        <f t="shared" si="4"/>
        <v/>
      </c>
      <c r="AH62" s="22" t="str">
        <f t="shared" si="5"/>
        <v/>
      </c>
      <c r="AI62" s="40">
        <f t="shared" ref="AI62:AI64" si="16">AI61</f>
        <v>21800</v>
      </c>
      <c r="AJ62" s="27">
        <f>(K62*L62)+(N62*O62)+(Q62*R62)</f>
        <v>410400</v>
      </c>
      <c r="AL62" s="41"/>
    </row>
    <row r="63" spans="1:38" x14ac:dyDescent="0.25">
      <c r="A63" s="30">
        <v>46186</v>
      </c>
      <c r="B63" s="73"/>
      <c r="C63" s="31"/>
      <c r="D63" s="73"/>
      <c r="E63" s="57"/>
      <c r="F63" s="73"/>
      <c r="G63" s="57"/>
      <c r="H63" s="90"/>
      <c r="I63" s="34"/>
      <c r="J63" s="25"/>
      <c r="K63" s="35"/>
      <c r="L63" s="74"/>
      <c r="M63" s="32">
        <v>21</v>
      </c>
      <c r="N63" s="33">
        <v>1</v>
      </c>
      <c r="O63" s="86">
        <v>19300</v>
      </c>
      <c r="P63" s="32"/>
      <c r="Q63" s="33"/>
      <c r="R63" s="86"/>
      <c r="S63" s="98">
        <f t="shared" si="7"/>
        <v>7343</v>
      </c>
      <c r="T63" s="99">
        <f t="shared" si="8"/>
        <v>372.65</v>
      </c>
      <c r="U63" s="32">
        <f t="shared" si="9"/>
        <v>267</v>
      </c>
      <c r="V63" s="57">
        <f t="shared" si="10"/>
        <v>11.530000000000001</v>
      </c>
      <c r="W63" s="57">
        <f t="shared" si="11"/>
        <v>257</v>
      </c>
      <c r="X63" s="57">
        <f t="shared" si="12"/>
        <v>9.2100000000000009</v>
      </c>
      <c r="Y63" s="114">
        <f t="shared" si="0"/>
        <v>524</v>
      </c>
      <c r="Z63" s="110">
        <f t="shared" si="1"/>
        <v>20.740000000000002</v>
      </c>
      <c r="AA63" s="36"/>
      <c r="AB63" s="37"/>
      <c r="AC63" s="21">
        <f t="shared" si="13"/>
        <v>7867</v>
      </c>
      <c r="AD63" s="22">
        <f t="shared" si="14"/>
        <v>393.39</v>
      </c>
      <c r="AE63" s="38"/>
      <c r="AF63" s="39"/>
      <c r="AG63" s="22" t="str">
        <f t="shared" si="4"/>
        <v/>
      </c>
      <c r="AH63" s="22" t="str">
        <f t="shared" si="5"/>
        <v/>
      </c>
      <c r="AI63" s="40">
        <f t="shared" si="16"/>
        <v>21800</v>
      </c>
      <c r="AJ63" s="27">
        <f>(K63*L63)+(N63*O63)+(Q63*R63)</f>
        <v>19300</v>
      </c>
      <c r="AL63" s="41"/>
    </row>
    <row r="64" spans="1:38" x14ac:dyDescent="0.25">
      <c r="A64" s="30">
        <v>46186</v>
      </c>
      <c r="B64" s="73"/>
      <c r="C64" s="31"/>
      <c r="D64" s="73"/>
      <c r="E64" s="57"/>
      <c r="F64" s="73"/>
      <c r="G64" s="57"/>
      <c r="H64" s="90"/>
      <c r="I64" s="34"/>
      <c r="J64" s="25"/>
      <c r="K64" s="35"/>
      <c r="L64" s="74"/>
      <c r="M64" s="32"/>
      <c r="N64" s="33"/>
      <c r="O64" s="86"/>
      <c r="P64" s="32"/>
      <c r="Q64" s="33"/>
      <c r="R64" s="86"/>
      <c r="S64" s="98">
        <f t="shared" si="7"/>
        <v>7343</v>
      </c>
      <c r="T64" s="99">
        <f t="shared" si="8"/>
        <v>372.65</v>
      </c>
      <c r="U64" s="32">
        <f t="shared" si="9"/>
        <v>267</v>
      </c>
      <c r="V64" s="57">
        <f t="shared" si="10"/>
        <v>11.530000000000001</v>
      </c>
      <c r="W64" s="57">
        <f t="shared" si="11"/>
        <v>257</v>
      </c>
      <c r="X64" s="57">
        <f t="shared" si="12"/>
        <v>9.2100000000000009</v>
      </c>
      <c r="Y64" s="114">
        <f t="shared" si="0"/>
        <v>524</v>
      </c>
      <c r="Z64" s="110">
        <f t="shared" si="1"/>
        <v>20.740000000000002</v>
      </c>
      <c r="AA64" s="36">
        <v>107</v>
      </c>
      <c r="AB64" s="37">
        <v>2.6</v>
      </c>
      <c r="AC64" s="21">
        <f t="shared" si="13"/>
        <v>7760</v>
      </c>
      <c r="AD64" s="22">
        <f t="shared" si="14"/>
        <v>390.78999999999996</v>
      </c>
      <c r="AE64" s="38">
        <v>7760</v>
      </c>
      <c r="AF64" s="39">
        <v>388.8</v>
      </c>
      <c r="AG64" s="22">
        <f t="shared" si="4"/>
        <v>0</v>
      </c>
      <c r="AH64" s="22">
        <f t="shared" si="5"/>
        <v>1.9899999999999523</v>
      </c>
      <c r="AI64" s="40">
        <f t="shared" si="16"/>
        <v>21800</v>
      </c>
      <c r="AJ64" s="27">
        <f>(K64*L64)+(N64*O64)+(Q64*R64)</f>
        <v>0</v>
      </c>
      <c r="AL64" s="41"/>
    </row>
    <row r="65" spans="1:38" x14ac:dyDescent="0.25">
      <c r="A65" s="30">
        <f>A61+1</f>
        <v>46187</v>
      </c>
      <c r="B65" s="73">
        <v>4134</v>
      </c>
      <c r="C65" s="31">
        <v>208.5</v>
      </c>
      <c r="D65" s="73">
        <v>34</v>
      </c>
      <c r="E65" s="57">
        <v>1.6</v>
      </c>
      <c r="F65" s="73">
        <v>13</v>
      </c>
      <c r="G65" s="57">
        <v>0.4</v>
      </c>
      <c r="H65" s="90">
        <f>B65+D65+F65</f>
        <v>4181</v>
      </c>
      <c r="I65" s="34">
        <f>C65+E65+G65</f>
        <v>210.5</v>
      </c>
      <c r="J65" s="25">
        <v>457</v>
      </c>
      <c r="K65" s="35">
        <v>23</v>
      </c>
      <c r="L65" s="74">
        <v>22500</v>
      </c>
      <c r="M65" s="32"/>
      <c r="N65" s="33"/>
      <c r="O65" s="86"/>
      <c r="P65" s="32"/>
      <c r="Q65" s="33"/>
      <c r="R65" s="86"/>
      <c r="S65" s="98">
        <f t="shared" si="7"/>
        <v>11020</v>
      </c>
      <c r="T65" s="99">
        <f t="shared" si="8"/>
        <v>558.15</v>
      </c>
      <c r="U65" s="32">
        <f t="shared" si="9"/>
        <v>301</v>
      </c>
      <c r="V65" s="57">
        <f t="shared" si="10"/>
        <v>13.13</v>
      </c>
      <c r="W65" s="57">
        <f t="shared" si="11"/>
        <v>270</v>
      </c>
      <c r="X65" s="57">
        <f t="shared" si="12"/>
        <v>9.6100000000000012</v>
      </c>
      <c r="Y65" s="114">
        <f t="shared" si="0"/>
        <v>571</v>
      </c>
      <c r="Z65" s="110">
        <f t="shared" si="1"/>
        <v>22.740000000000002</v>
      </c>
      <c r="AA65" s="36"/>
      <c r="AB65" s="37"/>
      <c r="AC65" s="21">
        <f t="shared" si="13"/>
        <v>11591</v>
      </c>
      <c r="AD65" s="22">
        <f t="shared" si="14"/>
        <v>580.89</v>
      </c>
      <c r="AE65" s="38"/>
      <c r="AF65" s="39"/>
      <c r="AG65" s="22" t="str">
        <f t="shared" si="4"/>
        <v/>
      </c>
      <c r="AH65" s="22" t="str">
        <f t="shared" si="5"/>
        <v/>
      </c>
      <c r="AI65" s="40">
        <v>21500</v>
      </c>
      <c r="AJ65" s="27">
        <f>(K65*L65)+(N65*O65)+(Q65*R65)</f>
        <v>517500</v>
      </c>
      <c r="AL65" s="41"/>
    </row>
    <row r="66" spans="1:38" x14ac:dyDescent="0.25">
      <c r="A66" s="30">
        <f t="shared" si="6"/>
        <v>46188</v>
      </c>
      <c r="B66" s="73">
        <v>4200</v>
      </c>
      <c r="C66" s="31">
        <v>213.8</v>
      </c>
      <c r="D66" s="73">
        <v>23</v>
      </c>
      <c r="E66" s="57">
        <v>1.1000000000000001</v>
      </c>
      <c r="F66" s="73">
        <v>17</v>
      </c>
      <c r="G66" s="57">
        <v>0.6</v>
      </c>
      <c r="H66" s="90">
        <f>B66+D66+F66</f>
        <v>4240</v>
      </c>
      <c r="I66" s="34">
        <f>C66+E66+G66</f>
        <v>215.5</v>
      </c>
      <c r="J66" s="25">
        <v>397</v>
      </c>
      <c r="K66" s="35">
        <v>20</v>
      </c>
      <c r="L66" s="74">
        <v>22300</v>
      </c>
      <c r="M66" s="32"/>
      <c r="N66" s="33"/>
      <c r="O66" s="86"/>
      <c r="P66" s="32"/>
      <c r="Q66" s="33"/>
      <c r="R66" s="86"/>
      <c r="S66" s="98">
        <f t="shared" si="7"/>
        <v>14823</v>
      </c>
      <c r="T66" s="99">
        <f t="shared" si="8"/>
        <v>751.95</v>
      </c>
      <c r="U66" s="32">
        <f t="shared" si="9"/>
        <v>324</v>
      </c>
      <c r="V66" s="57">
        <f t="shared" si="10"/>
        <v>14.23</v>
      </c>
      <c r="W66" s="57">
        <f t="shared" si="11"/>
        <v>287</v>
      </c>
      <c r="X66" s="57">
        <f t="shared" si="12"/>
        <v>10.210000000000001</v>
      </c>
      <c r="Y66" s="114">
        <f t="shared" si="0"/>
        <v>611</v>
      </c>
      <c r="Z66" s="110">
        <f t="shared" si="1"/>
        <v>24.44</v>
      </c>
      <c r="AA66" s="36"/>
      <c r="AB66" s="37"/>
      <c r="AC66" s="21">
        <f t="shared" si="13"/>
        <v>15434</v>
      </c>
      <c r="AD66" s="22">
        <f t="shared" si="14"/>
        <v>776.3900000000001</v>
      </c>
      <c r="AE66" s="38"/>
      <c r="AF66" s="39"/>
      <c r="AG66" s="22" t="str">
        <f t="shared" si="4"/>
        <v/>
      </c>
      <c r="AH66" s="22" t="str">
        <f t="shared" si="5"/>
        <v/>
      </c>
      <c r="AI66" s="40">
        <v>21000</v>
      </c>
      <c r="AJ66" s="27">
        <f>(K66*L66)+(N66*O66)+(Q66*R66)</f>
        <v>446000</v>
      </c>
      <c r="AL66" s="41"/>
    </row>
    <row r="67" spans="1:38" x14ac:dyDescent="0.25">
      <c r="A67" s="30">
        <f t="shared" si="6"/>
        <v>46189</v>
      </c>
      <c r="B67" s="73">
        <v>4340</v>
      </c>
      <c r="C67" s="31">
        <v>223</v>
      </c>
      <c r="D67" s="73">
        <v>28</v>
      </c>
      <c r="E67" s="57">
        <v>1.3</v>
      </c>
      <c r="F67" s="73">
        <v>22</v>
      </c>
      <c r="G67" s="57">
        <v>0.7</v>
      </c>
      <c r="H67" s="90">
        <f>B67+D67+F67</f>
        <v>4390</v>
      </c>
      <c r="I67" s="34">
        <f>C67+E67+G67</f>
        <v>225</v>
      </c>
      <c r="J67" s="25">
        <v>9739</v>
      </c>
      <c r="K67" s="35">
        <v>483</v>
      </c>
      <c r="L67" s="74">
        <v>21300</v>
      </c>
      <c r="M67" s="32"/>
      <c r="N67" s="33"/>
      <c r="O67" s="86"/>
      <c r="P67" s="32"/>
      <c r="Q67" s="33"/>
      <c r="R67" s="86"/>
      <c r="S67" s="98">
        <f t="shared" si="7"/>
        <v>9424</v>
      </c>
      <c r="T67" s="99">
        <f t="shared" si="8"/>
        <v>491.95000000000005</v>
      </c>
      <c r="U67" s="32">
        <f t="shared" si="9"/>
        <v>352</v>
      </c>
      <c r="V67" s="57">
        <f t="shared" si="10"/>
        <v>15.530000000000001</v>
      </c>
      <c r="W67" s="57">
        <f t="shared" si="11"/>
        <v>309</v>
      </c>
      <c r="X67" s="57">
        <f t="shared" si="12"/>
        <v>10.91</v>
      </c>
      <c r="Y67" s="114">
        <f t="shared" ref="Y67:Y96" si="17">U67+W67</f>
        <v>661</v>
      </c>
      <c r="Z67" s="110">
        <f t="shared" ref="Z67:Z96" si="18">V67+X67</f>
        <v>26.44</v>
      </c>
      <c r="AA67" s="36"/>
      <c r="AB67" s="37"/>
      <c r="AC67" s="21">
        <f t="shared" si="13"/>
        <v>10085</v>
      </c>
      <c r="AD67" s="22">
        <f t="shared" si="14"/>
        <v>518.3900000000001</v>
      </c>
      <c r="AE67" s="38"/>
      <c r="AF67" s="39"/>
      <c r="AG67" s="22" t="str">
        <f t="shared" ref="AG67:AG96" si="19">IF(AE67="","",AC67-AE67)</f>
        <v/>
      </c>
      <c r="AH67" s="22" t="str">
        <f t="shared" ref="AH67:AH96" si="20">IF(AF67="","",AD67-AF67)</f>
        <v/>
      </c>
      <c r="AI67" s="40">
        <v>20800</v>
      </c>
      <c r="AJ67" s="27">
        <f>(K67*L67)+(N67*O67)+(Q67*R67)</f>
        <v>10287900</v>
      </c>
      <c r="AL67" s="41"/>
    </row>
    <row r="68" spans="1:38" x14ac:dyDescent="0.25">
      <c r="A68" s="30">
        <f t="shared" ref="A68:A77" si="21">A67+1</f>
        <v>46190</v>
      </c>
      <c r="B68" s="73">
        <v>4511</v>
      </c>
      <c r="C68" s="31">
        <v>234.2</v>
      </c>
      <c r="D68" s="73">
        <v>28</v>
      </c>
      <c r="E68" s="57">
        <v>1.3</v>
      </c>
      <c r="F68" s="73">
        <v>15</v>
      </c>
      <c r="G68" s="57">
        <v>0.5</v>
      </c>
      <c r="H68" s="90">
        <f>B68+D68+F68</f>
        <v>4554</v>
      </c>
      <c r="I68" s="34">
        <f>C68+E68+G68</f>
        <v>236</v>
      </c>
      <c r="J68" s="25">
        <v>6814</v>
      </c>
      <c r="K68" s="35">
        <v>343</v>
      </c>
      <c r="L68" s="74">
        <v>20900</v>
      </c>
      <c r="M68" s="32"/>
      <c r="N68" s="33"/>
      <c r="O68" s="86"/>
      <c r="P68" s="32"/>
      <c r="Q68" s="33"/>
      <c r="R68" s="86"/>
      <c r="S68" s="98">
        <f t="shared" ref="S68:S96" si="22">B68-J68+S67</f>
        <v>7121</v>
      </c>
      <c r="T68" s="99">
        <f t="shared" ref="T68:T96" si="23">C68-K68+T67</f>
        <v>383.15000000000003</v>
      </c>
      <c r="U68" s="32">
        <f t="shared" ref="U68:U96" si="24">D68-M68+U67</f>
        <v>380</v>
      </c>
      <c r="V68" s="57">
        <f t="shared" ref="V68:V96" si="25">E68-N68+V67</f>
        <v>16.830000000000002</v>
      </c>
      <c r="W68" s="57">
        <f t="shared" ref="W68:W96" si="26">F68-P68+W67</f>
        <v>324</v>
      </c>
      <c r="X68" s="57">
        <f t="shared" ref="X68:X96" si="27">G68-Q68+X67</f>
        <v>11.41</v>
      </c>
      <c r="Y68" s="114">
        <f t="shared" si="17"/>
        <v>704</v>
      </c>
      <c r="Z68" s="110">
        <f t="shared" si="18"/>
        <v>28.240000000000002</v>
      </c>
      <c r="AA68" s="36"/>
      <c r="AB68" s="37"/>
      <c r="AC68" s="21">
        <f t="shared" si="13"/>
        <v>7825</v>
      </c>
      <c r="AD68" s="22">
        <f t="shared" si="14"/>
        <v>411.39000000000004</v>
      </c>
      <c r="AE68" s="38"/>
      <c r="AF68" s="39"/>
      <c r="AG68" s="22" t="str">
        <f t="shared" si="19"/>
        <v/>
      </c>
      <c r="AH68" s="22" t="str">
        <f t="shared" si="20"/>
        <v/>
      </c>
      <c r="AI68" s="40">
        <v>20600</v>
      </c>
      <c r="AJ68" s="27">
        <f>(K68*L68)+(N68*O68)+(Q68*R68)</f>
        <v>7168700</v>
      </c>
      <c r="AL68" s="41"/>
    </row>
    <row r="69" spans="1:38" x14ac:dyDescent="0.25">
      <c r="A69" s="30">
        <v>46190</v>
      </c>
      <c r="B69" s="73"/>
      <c r="C69" s="31"/>
      <c r="D69" s="73"/>
      <c r="E69" s="57"/>
      <c r="F69" s="73"/>
      <c r="G69" s="57"/>
      <c r="H69" s="90"/>
      <c r="I69" s="34"/>
      <c r="J69" s="25"/>
      <c r="K69" s="35"/>
      <c r="L69" s="74"/>
      <c r="M69" s="32"/>
      <c r="N69" s="33"/>
      <c r="O69" s="86"/>
      <c r="P69" s="32">
        <v>44</v>
      </c>
      <c r="Q69" s="33">
        <v>2</v>
      </c>
      <c r="R69" s="86">
        <v>15000</v>
      </c>
      <c r="S69" s="98">
        <f t="shared" si="22"/>
        <v>7121</v>
      </c>
      <c r="T69" s="99">
        <f t="shared" si="23"/>
        <v>383.15000000000003</v>
      </c>
      <c r="U69" s="32">
        <f t="shared" si="24"/>
        <v>380</v>
      </c>
      <c r="V69" s="57">
        <f t="shared" si="25"/>
        <v>16.830000000000002</v>
      </c>
      <c r="W69" s="57">
        <f t="shared" si="26"/>
        <v>280</v>
      </c>
      <c r="X69" s="57">
        <f t="shared" si="27"/>
        <v>9.41</v>
      </c>
      <c r="Y69" s="114">
        <f t="shared" si="17"/>
        <v>660</v>
      </c>
      <c r="Z69" s="110">
        <f t="shared" si="18"/>
        <v>26.240000000000002</v>
      </c>
      <c r="AA69" s="36"/>
      <c r="AB69" s="37"/>
      <c r="AC69" s="21">
        <f t="shared" si="13"/>
        <v>7781</v>
      </c>
      <c r="AD69" s="22">
        <f t="shared" si="14"/>
        <v>409.39000000000004</v>
      </c>
      <c r="AE69" s="38"/>
      <c r="AF69" s="39"/>
      <c r="AG69" s="22" t="str">
        <f t="shared" si="19"/>
        <v/>
      </c>
      <c r="AH69" s="22" t="str">
        <f t="shared" si="20"/>
        <v/>
      </c>
      <c r="AI69" s="40">
        <f>AI68</f>
        <v>20600</v>
      </c>
      <c r="AJ69" s="27">
        <f>(K69*L69)+(N69*O69)+(Q69*R69)</f>
        <v>30000</v>
      </c>
      <c r="AL69" s="41"/>
    </row>
    <row r="70" spans="1:38" x14ac:dyDescent="0.25">
      <c r="A70" s="30">
        <f>A68+1</f>
        <v>46191</v>
      </c>
      <c r="B70" s="73">
        <v>4554</v>
      </c>
      <c r="C70" s="31">
        <v>236.5</v>
      </c>
      <c r="D70" s="73">
        <v>24</v>
      </c>
      <c r="E70" s="57">
        <v>1.2</v>
      </c>
      <c r="F70" s="73">
        <v>24</v>
      </c>
      <c r="G70" s="57">
        <v>0.8</v>
      </c>
      <c r="H70" s="90">
        <f>B70+D70+F70</f>
        <v>4602</v>
      </c>
      <c r="I70" s="34">
        <f>C70+E70+G70</f>
        <v>238.5</v>
      </c>
      <c r="J70" s="25">
        <v>2339</v>
      </c>
      <c r="K70" s="35">
        <v>120</v>
      </c>
      <c r="L70" s="74">
        <v>20900</v>
      </c>
      <c r="M70" s="32"/>
      <c r="N70" s="33"/>
      <c r="O70" s="86"/>
      <c r="P70" s="32"/>
      <c r="Q70" s="33"/>
      <c r="R70" s="86"/>
      <c r="S70" s="98">
        <f t="shared" si="22"/>
        <v>9336</v>
      </c>
      <c r="T70" s="99">
        <f t="shared" si="23"/>
        <v>499.65000000000003</v>
      </c>
      <c r="U70" s="32">
        <f t="shared" si="24"/>
        <v>404</v>
      </c>
      <c r="V70" s="57">
        <f t="shared" si="25"/>
        <v>18.03</v>
      </c>
      <c r="W70" s="57">
        <f t="shared" si="26"/>
        <v>304</v>
      </c>
      <c r="X70" s="57">
        <f t="shared" si="27"/>
        <v>10.210000000000001</v>
      </c>
      <c r="Y70" s="114">
        <f t="shared" si="17"/>
        <v>708</v>
      </c>
      <c r="Z70" s="110">
        <f t="shared" si="18"/>
        <v>28.240000000000002</v>
      </c>
      <c r="AA70" s="36"/>
      <c r="AB70" s="37"/>
      <c r="AC70" s="21">
        <f t="shared" si="13"/>
        <v>10044</v>
      </c>
      <c r="AD70" s="22">
        <f t="shared" si="14"/>
        <v>527.89</v>
      </c>
      <c r="AE70" s="38"/>
      <c r="AF70" s="39"/>
      <c r="AG70" s="22" t="str">
        <f t="shared" si="19"/>
        <v/>
      </c>
      <c r="AH70" s="22" t="str">
        <f t="shared" si="20"/>
        <v/>
      </c>
      <c r="AI70" s="40">
        <v>20400</v>
      </c>
      <c r="AJ70" s="27">
        <f>(K70*L70)+(N70*O70)+(Q70*R70)</f>
        <v>2508000</v>
      </c>
      <c r="AL70" s="41"/>
    </row>
    <row r="71" spans="1:38" x14ac:dyDescent="0.25">
      <c r="A71" s="30">
        <v>46191</v>
      </c>
      <c r="B71" s="73"/>
      <c r="C71" s="31"/>
      <c r="D71" s="73"/>
      <c r="E71" s="57"/>
      <c r="F71" s="73"/>
      <c r="G71" s="57"/>
      <c r="H71" s="90"/>
      <c r="I71" s="34"/>
      <c r="J71" s="81">
        <v>371</v>
      </c>
      <c r="K71" s="42">
        <v>19</v>
      </c>
      <c r="L71" s="75">
        <v>21100</v>
      </c>
      <c r="M71" s="32"/>
      <c r="N71" s="33"/>
      <c r="O71" s="86"/>
      <c r="P71" s="32"/>
      <c r="Q71" s="33"/>
      <c r="R71" s="86"/>
      <c r="S71" s="98">
        <f t="shared" si="22"/>
        <v>8965</v>
      </c>
      <c r="T71" s="99">
        <f t="shared" si="23"/>
        <v>480.65000000000003</v>
      </c>
      <c r="U71" s="32">
        <f t="shared" si="24"/>
        <v>404</v>
      </c>
      <c r="V71" s="57">
        <f t="shared" si="25"/>
        <v>18.03</v>
      </c>
      <c r="W71" s="57">
        <f t="shared" si="26"/>
        <v>304</v>
      </c>
      <c r="X71" s="57">
        <f t="shared" si="27"/>
        <v>10.210000000000001</v>
      </c>
      <c r="Y71" s="114">
        <f t="shared" si="17"/>
        <v>708</v>
      </c>
      <c r="Z71" s="110">
        <f t="shared" si="18"/>
        <v>28.240000000000002</v>
      </c>
      <c r="AA71" s="36"/>
      <c r="AB71" s="37"/>
      <c r="AC71" s="21">
        <f t="shared" si="13"/>
        <v>9673</v>
      </c>
      <c r="AD71" s="22">
        <f t="shared" si="14"/>
        <v>508.89000000000004</v>
      </c>
      <c r="AE71" s="38"/>
      <c r="AF71" s="39"/>
      <c r="AG71" s="22" t="str">
        <f t="shared" si="19"/>
        <v/>
      </c>
      <c r="AH71" s="22" t="str">
        <f t="shared" si="20"/>
        <v/>
      </c>
      <c r="AI71" s="40">
        <f>AI70</f>
        <v>20400</v>
      </c>
      <c r="AJ71" s="27">
        <f>(K71*L71)+(N71*O71)+(Q71*R71)</f>
        <v>400900</v>
      </c>
      <c r="AL71" s="41"/>
    </row>
    <row r="72" spans="1:38" x14ac:dyDescent="0.25">
      <c r="A72" s="30">
        <f>A70+1</f>
        <v>46192</v>
      </c>
      <c r="B72" s="73">
        <v>4618</v>
      </c>
      <c r="C72" s="31">
        <v>244.4</v>
      </c>
      <c r="D72" s="73">
        <v>22</v>
      </c>
      <c r="E72" s="57">
        <v>1.1000000000000001</v>
      </c>
      <c r="F72" s="73">
        <v>15</v>
      </c>
      <c r="G72" s="57">
        <v>0.5</v>
      </c>
      <c r="H72" s="90">
        <f>B72+D72+F72</f>
        <v>4655</v>
      </c>
      <c r="I72" s="34">
        <f>C72+E72+G72</f>
        <v>246</v>
      </c>
      <c r="J72" s="81">
        <v>2099</v>
      </c>
      <c r="K72" s="42">
        <v>110</v>
      </c>
      <c r="L72" s="75">
        <v>20900</v>
      </c>
      <c r="M72" s="32"/>
      <c r="N72" s="33"/>
      <c r="O72" s="86"/>
      <c r="P72" s="32"/>
      <c r="Q72" s="33"/>
      <c r="R72" s="86"/>
      <c r="S72" s="98">
        <f t="shared" si="22"/>
        <v>11484</v>
      </c>
      <c r="T72" s="99">
        <f t="shared" si="23"/>
        <v>615.05000000000007</v>
      </c>
      <c r="U72" s="32">
        <f t="shared" si="24"/>
        <v>426</v>
      </c>
      <c r="V72" s="57">
        <f t="shared" si="25"/>
        <v>19.130000000000003</v>
      </c>
      <c r="W72" s="57">
        <f t="shared" si="26"/>
        <v>319</v>
      </c>
      <c r="X72" s="57">
        <f t="shared" si="27"/>
        <v>10.71</v>
      </c>
      <c r="Y72" s="114">
        <f t="shared" si="17"/>
        <v>745</v>
      </c>
      <c r="Z72" s="110">
        <f t="shared" si="18"/>
        <v>29.840000000000003</v>
      </c>
      <c r="AA72" s="36"/>
      <c r="AB72" s="37"/>
      <c r="AC72" s="21">
        <f t="shared" si="13"/>
        <v>12229</v>
      </c>
      <c r="AD72" s="22">
        <f t="shared" si="14"/>
        <v>644.8900000000001</v>
      </c>
      <c r="AE72" s="38"/>
      <c r="AF72" s="39"/>
      <c r="AG72" s="22" t="str">
        <f t="shared" si="19"/>
        <v/>
      </c>
      <c r="AH72" s="22" t="str">
        <f t="shared" si="20"/>
        <v/>
      </c>
      <c r="AI72" s="40">
        <v>20000</v>
      </c>
      <c r="AJ72" s="27">
        <f>(K72*L72)+(N72*O72)+(Q72*R72)</f>
        <v>2299000</v>
      </c>
      <c r="AL72" s="41"/>
    </row>
    <row r="73" spans="1:38" x14ac:dyDescent="0.25">
      <c r="A73" s="30">
        <v>46192</v>
      </c>
      <c r="B73" s="73"/>
      <c r="C73" s="31"/>
      <c r="D73" s="73"/>
      <c r="E73" s="57"/>
      <c r="F73" s="73"/>
      <c r="G73" s="57"/>
      <c r="H73" s="90"/>
      <c r="I73" s="34"/>
      <c r="J73" s="25">
        <v>10000</v>
      </c>
      <c r="K73" s="35">
        <v>520</v>
      </c>
      <c r="L73" s="74">
        <v>20300</v>
      </c>
      <c r="M73" s="32"/>
      <c r="N73" s="33"/>
      <c r="O73" s="86"/>
      <c r="P73" s="32"/>
      <c r="Q73" s="33"/>
      <c r="R73" s="86"/>
      <c r="S73" s="98">
        <f t="shared" si="22"/>
        <v>1484</v>
      </c>
      <c r="T73" s="99">
        <f t="shared" si="23"/>
        <v>95.050000000000068</v>
      </c>
      <c r="U73" s="32">
        <f t="shared" si="24"/>
        <v>426</v>
      </c>
      <c r="V73" s="57">
        <f t="shared" si="25"/>
        <v>19.130000000000003</v>
      </c>
      <c r="W73" s="57">
        <f t="shared" si="26"/>
        <v>319</v>
      </c>
      <c r="X73" s="57">
        <f t="shared" si="27"/>
        <v>10.71</v>
      </c>
      <c r="Y73" s="114">
        <f t="shared" si="17"/>
        <v>745</v>
      </c>
      <c r="Z73" s="110">
        <f t="shared" si="18"/>
        <v>29.840000000000003</v>
      </c>
      <c r="AA73" s="36"/>
      <c r="AB73" s="37"/>
      <c r="AC73" s="21">
        <f t="shared" si="13"/>
        <v>2229</v>
      </c>
      <c r="AD73" s="22">
        <f t="shared" si="14"/>
        <v>124.89000000000007</v>
      </c>
      <c r="AE73" s="38"/>
      <c r="AF73" s="39"/>
      <c r="AG73" s="22" t="str">
        <f t="shared" si="19"/>
        <v/>
      </c>
      <c r="AH73" s="22" t="str">
        <f t="shared" si="20"/>
        <v/>
      </c>
      <c r="AI73" s="40">
        <v>20000</v>
      </c>
      <c r="AJ73" s="27">
        <f>(K73*L73)+(N73*O73)+(Q73*R73)</f>
        <v>10556000</v>
      </c>
      <c r="AL73" s="41"/>
    </row>
    <row r="74" spans="1:38" x14ac:dyDescent="0.25">
      <c r="A74" s="30">
        <v>46192</v>
      </c>
      <c r="B74" s="73"/>
      <c r="C74" s="31"/>
      <c r="D74" s="73"/>
      <c r="E74" s="57"/>
      <c r="F74" s="73"/>
      <c r="G74" s="57"/>
      <c r="H74" s="90"/>
      <c r="I74" s="34"/>
      <c r="J74" s="25">
        <v>210</v>
      </c>
      <c r="K74" s="35">
        <v>10</v>
      </c>
      <c r="L74" s="74">
        <v>18000</v>
      </c>
      <c r="M74" s="32"/>
      <c r="N74" s="33"/>
      <c r="O74" s="86"/>
      <c r="P74" s="32"/>
      <c r="Q74" s="33"/>
      <c r="R74" s="86"/>
      <c r="S74" s="98">
        <f t="shared" si="22"/>
        <v>1274</v>
      </c>
      <c r="T74" s="99">
        <f t="shared" si="23"/>
        <v>85.050000000000068</v>
      </c>
      <c r="U74" s="32">
        <f t="shared" si="24"/>
        <v>426</v>
      </c>
      <c r="V74" s="57">
        <f t="shared" si="25"/>
        <v>19.130000000000003</v>
      </c>
      <c r="W74" s="57">
        <f t="shared" si="26"/>
        <v>319</v>
      </c>
      <c r="X74" s="57">
        <f t="shared" si="27"/>
        <v>10.71</v>
      </c>
      <c r="Y74" s="114">
        <f t="shared" si="17"/>
        <v>745</v>
      </c>
      <c r="Z74" s="110">
        <f t="shared" si="18"/>
        <v>29.840000000000003</v>
      </c>
      <c r="AA74" s="36"/>
      <c r="AB74" s="37"/>
      <c r="AC74" s="21">
        <f t="shared" si="13"/>
        <v>2019</v>
      </c>
      <c r="AD74" s="22">
        <f t="shared" si="14"/>
        <v>114.89000000000007</v>
      </c>
      <c r="AE74" s="38"/>
      <c r="AF74" s="39"/>
      <c r="AG74" s="22" t="str">
        <f t="shared" si="19"/>
        <v/>
      </c>
      <c r="AH74" s="22" t="str">
        <f t="shared" si="20"/>
        <v/>
      </c>
      <c r="AI74" s="40">
        <v>20000</v>
      </c>
      <c r="AJ74" s="27">
        <f>(K74*L74)+(N74*O74)+(Q74*R74)</f>
        <v>180000</v>
      </c>
      <c r="AL74" s="41"/>
    </row>
    <row r="75" spans="1:38" x14ac:dyDescent="0.25">
      <c r="A75" s="30">
        <v>46192</v>
      </c>
      <c r="B75" s="73"/>
      <c r="C75" s="31"/>
      <c r="D75" s="73"/>
      <c r="E75" s="57"/>
      <c r="F75" s="73"/>
      <c r="G75" s="57"/>
      <c r="H75" s="90"/>
      <c r="I75" s="34"/>
      <c r="J75" s="25"/>
      <c r="K75" s="35"/>
      <c r="L75" s="74"/>
      <c r="M75" s="32"/>
      <c r="N75" s="33"/>
      <c r="O75" s="86"/>
      <c r="P75" s="32"/>
      <c r="Q75" s="33"/>
      <c r="R75" s="86"/>
      <c r="S75" s="98">
        <f t="shared" si="22"/>
        <v>1274</v>
      </c>
      <c r="T75" s="99">
        <f t="shared" si="23"/>
        <v>85.050000000000068</v>
      </c>
      <c r="U75" s="32">
        <f t="shared" si="24"/>
        <v>426</v>
      </c>
      <c r="V75" s="57">
        <f t="shared" si="25"/>
        <v>19.130000000000003</v>
      </c>
      <c r="W75" s="57">
        <f t="shared" si="26"/>
        <v>319</v>
      </c>
      <c r="X75" s="57">
        <f t="shared" si="27"/>
        <v>10.71</v>
      </c>
      <c r="Y75" s="114">
        <f t="shared" si="17"/>
        <v>745</v>
      </c>
      <c r="Z75" s="110">
        <f t="shared" si="18"/>
        <v>29.840000000000003</v>
      </c>
      <c r="AA75" s="36">
        <v>157</v>
      </c>
      <c r="AB75" s="37">
        <v>2.9</v>
      </c>
      <c r="AC75" s="21">
        <f t="shared" si="13"/>
        <v>1862</v>
      </c>
      <c r="AD75" s="22">
        <f t="shared" si="14"/>
        <v>111.99000000000007</v>
      </c>
      <c r="AE75" s="38"/>
      <c r="AF75" s="39"/>
      <c r="AG75" s="22" t="str">
        <f t="shared" si="19"/>
        <v/>
      </c>
      <c r="AH75" s="22" t="str">
        <f t="shared" si="20"/>
        <v/>
      </c>
      <c r="AI75" s="40">
        <v>20000</v>
      </c>
      <c r="AJ75" s="27">
        <f>(K75*L75)+(N75*O75)+(Q75*R75)</f>
        <v>0</v>
      </c>
      <c r="AL75" s="41"/>
    </row>
    <row r="76" spans="1:38" x14ac:dyDescent="0.25">
      <c r="A76" s="30">
        <f>A72+1</f>
        <v>46193</v>
      </c>
      <c r="B76" s="73">
        <v>4641</v>
      </c>
      <c r="C76" s="31">
        <v>248.3</v>
      </c>
      <c r="D76" s="73">
        <v>18</v>
      </c>
      <c r="E76" s="57">
        <v>0.8</v>
      </c>
      <c r="F76" s="73">
        <v>33</v>
      </c>
      <c r="G76" s="57">
        <v>1.2</v>
      </c>
      <c r="H76" s="90">
        <f>B76+D76+F76</f>
        <v>4692</v>
      </c>
      <c r="I76" s="34">
        <f>C76+E76+G76</f>
        <v>250.3</v>
      </c>
      <c r="J76" s="25">
        <v>922</v>
      </c>
      <c r="K76" s="35">
        <v>48</v>
      </c>
      <c r="L76" s="74">
        <v>20100</v>
      </c>
      <c r="M76" s="32"/>
      <c r="N76" s="33"/>
      <c r="O76" s="86"/>
      <c r="P76" s="32"/>
      <c r="Q76" s="33"/>
      <c r="R76" s="86"/>
      <c r="S76" s="98">
        <f t="shared" si="22"/>
        <v>4993</v>
      </c>
      <c r="T76" s="99">
        <f t="shared" si="23"/>
        <v>285.35000000000008</v>
      </c>
      <c r="U76" s="32">
        <f t="shared" si="24"/>
        <v>444</v>
      </c>
      <c r="V76" s="57">
        <f t="shared" si="25"/>
        <v>19.930000000000003</v>
      </c>
      <c r="W76" s="57">
        <f t="shared" si="26"/>
        <v>352</v>
      </c>
      <c r="X76" s="57">
        <f t="shared" si="27"/>
        <v>11.91</v>
      </c>
      <c r="Y76" s="114">
        <f t="shared" si="17"/>
        <v>796</v>
      </c>
      <c r="Z76" s="110">
        <f t="shared" si="18"/>
        <v>31.840000000000003</v>
      </c>
      <c r="AA76" s="36"/>
      <c r="AB76" s="37"/>
      <c r="AC76" s="21">
        <f t="shared" si="13"/>
        <v>5789</v>
      </c>
      <c r="AD76" s="22">
        <f t="shared" si="14"/>
        <v>317.19000000000005</v>
      </c>
      <c r="AE76" s="38"/>
      <c r="AF76" s="39"/>
      <c r="AG76" s="22" t="str">
        <f t="shared" si="19"/>
        <v/>
      </c>
      <c r="AH76" s="22" t="str">
        <f t="shared" si="20"/>
        <v/>
      </c>
      <c r="AI76" s="40">
        <v>20000</v>
      </c>
      <c r="AJ76" s="27">
        <f>(K76*L76)+(N76*O76)+(Q76*R76)</f>
        <v>964800</v>
      </c>
      <c r="AL76" s="41"/>
    </row>
    <row r="77" spans="1:38" x14ac:dyDescent="0.25">
      <c r="A77" s="30">
        <f t="shared" si="21"/>
        <v>46194</v>
      </c>
      <c r="B77" s="73">
        <v>4699</v>
      </c>
      <c r="C77" s="31">
        <v>253.5</v>
      </c>
      <c r="D77" s="73">
        <v>14</v>
      </c>
      <c r="E77" s="57">
        <v>0.9</v>
      </c>
      <c r="F77" s="73">
        <v>15</v>
      </c>
      <c r="G77" s="57">
        <v>0.5</v>
      </c>
      <c r="H77" s="90">
        <f>B77+D77+F77</f>
        <v>4728</v>
      </c>
      <c r="I77" s="34">
        <f>C77+E77+G77</f>
        <v>254.9</v>
      </c>
      <c r="J77" s="83">
        <v>10055</v>
      </c>
      <c r="K77" s="44">
        <v>538</v>
      </c>
      <c r="L77" s="77">
        <v>20100</v>
      </c>
      <c r="M77" s="32"/>
      <c r="N77" s="33"/>
      <c r="O77" s="86"/>
      <c r="P77" s="32"/>
      <c r="Q77" s="33"/>
      <c r="R77" s="86"/>
      <c r="S77" s="102">
        <f t="shared" si="22"/>
        <v>-363</v>
      </c>
      <c r="T77" s="99">
        <f t="shared" si="23"/>
        <v>0.85000000000007958</v>
      </c>
      <c r="U77" s="32">
        <f t="shared" si="24"/>
        <v>458</v>
      </c>
      <c r="V77" s="57">
        <f t="shared" si="25"/>
        <v>20.830000000000002</v>
      </c>
      <c r="W77" s="57">
        <f t="shared" si="26"/>
        <v>367</v>
      </c>
      <c r="X77" s="57">
        <f t="shared" si="27"/>
        <v>12.41</v>
      </c>
      <c r="Y77" s="114">
        <f t="shared" si="17"/>
        <v>825</v>
      </c>
      <c r="Z77" s="110">
        <f t="shared" si="18"/>
        <v>33.24</v>
      </c>
      <c r="AA77" s="36"/>
      <c r="AB77" s="37"/>
      <c r="AC77" s="21">
        <f t="shared" si="13"/>
        <v>462</v>
      </c>
      <c r="AD77" s="22">
        <f t="shared" si="14"/>
        <v>34.090000000000082</v>
      </c>
      <c r="AE77" s="38"/>
      <c r="AF77" s="39"/>
      <c r="AG77" s="22" t="str">
        <f t="shared" si="19"/>
        <v/>
      </c>
      <c r="AH77" s="22" t="str">
        <f t="shared" si="20"/>
        <v/>
      </c>
      <c r="AI77" s="40">
        <v>19800</v>
      </c>
      <c r="AJ77" s="27">
        <f>(K77*L77)+(N77*O77)+(Q77*R77)</f>
        <v>10813800</v>
      </c>
      <c r="AL77" s="41"/>
    </row>
    <row r="78" spans="1:38" x14ac:dyDescent="0.25">
      <c r="A78" s="30">
        <v>46194</v>
      </c>
      <c r="B78" s="73"/>
      <c r="C78" s="31"/>
      <c r="D78" s="73"/>
      <c r="E78" s="57"/>
      <c r="F78" s="73"/>
      <c r="G78" s="57"/>
      <c r="H78" s="90"/>
      <c r="I78" s="34"/>
      <c r="J78" s="83"/>
      <c r="K78" s="44"/>
      <c r="L78" s="77"/>
      <c r="M78" s="32"/>
      <c r="N78" s="33"/>
      <c r="O78" s="86"/>
      <c r="P78" s="45">
        <v>40</v>
      </c>
      <c r="Q78" s="46">
        <v>2</v>
      </c>
      <c r="R78" s="95">
        <v>15000</v>
      </c>
      <c r="S78" s="102">
        <f t="shared" si="22"/>
        <v>-363</v>
      </c>
      <c r="T78" s="99">
        <f t="shared" si="23"/>
        <v>0.85000000000007958</v>
      </c>
      <c r="U78" s="32">
        <f t="shared" si="24"/>
        <v>458</v>
      </c>
      <c r="V78" s="57">
        <f t="shared" si="25"/>
        <v>20.830000000000002</v>
      </c>
      <c r="W78" s="57">
        <f t="shared" si="26"/>
        <v>327</v>
      </c>
      <c r="X78" s="57">
        <f t="shared" si="27"/>
        <v>10.41</v>
      </c>
      <c r="Y78" s="114">
        <f t="shared" si="17"/>
        <v>785</v>
      </c>
      <c r="Z78" s="110">
        <f t="shared" si="18"/>
        <v>31.240000000000002</v>
      </c>
      <c r="AA78" s="36">
        <v>37</v>
      </c>
      <c r="AB78" s="37">
        <v>1</v>
      </c>
      <c r="AC78" s="21">
        <f t="shared" si="13"/>
        <v>385</v>
      </c>
      <c r="AD78" s="22">
        <f t="shared" si="14"/>
        <v>31.090000000000082</v>
      </c>
      <c r="AE78" s="47">
        <v>106</v>
      </c>
      <c r="AF78" s="48">
        <v>4.9000000000000004</v>
      </c>
      <c r="AG78" s="22">
        <f t="shared" si="19"/>
        <v>279</v>
      </c>
      <c r="AH78" s="22">
        <f t="shared" si="20"/>
        <v>26.190000000000083</v>
      </c>
      <c r="AI78" s="40">
        <v>19800</v>
      </c>
      <c r="AJ78" s="27">
        <f>(K78*L78)+(N78*O78)+(Q78*R78)</f>
        <v>30000</v>
      </c>
      <c r="AL78" s="41"/>
    </row>
    <row r="79" spans="1:38" x14ac:dyDescent="0.25">
      <c r="A79" s="30">
        <f>A77+1</f>
        <v>46195</v>
      </c>
      <c r="B79" s="73">
        <v>4690</v>
      </c>
      <c r="C79" s="31">
        <v>255.7</v>
      </c>
      <c r="D79" s="73">
        <v>23</v>
      </c>
      <c r="E79" s="57">
        <v>1</v>
      </c>
      <c r="F79" s="73">
        <v>17</v>
      </c>
      <c r="G79" s="57">
        <v>0.7</v>
      </c>
      <c r="H79" s="90">
        <f>B79+D79+F79</f>
        <v>4730</v>
      </c>
      <c r="I79" s="34">
        <f>C79+E79+G79</f>
        <v>257.39999999999998</v>
      </c>
      <c r="J79" s="83">
        <v>3675</v>
      </c>
      <c r="K79" s="44">
        <v>200</v>
      </c>
      <c r="L79" s="77">
        <v>19800</v>
      </c>
      <c r="M79" s="32"/>
      <c r="N79" s="33"/>
      <c r="O79" s="86"/>
      <c r="P79" s="32"/>
      <c r="Q79" s="33"/>
      <c r="R79" s="86"/>
      <c r="S79" s="98">
        <f t="shared" si="22"/>
        <v>652</v>
      </c>
      <c r="T79" s="99">
        <f t="shared" si="23"/>
        <v>56.550000000000068</v>
      </c>
      <c r="U79" s="32">
        <f t="shared" si="24"/>
        <v>481</v>
      </c>
      <c r="V79" s="57">
        <f t="shared" si="25"/>
        <v>21.830000000000002</v>
      </c>
      <c r="W79" s="57">
        <f t="shared" si="26"/>
        <v>344</v>
      </c>
      <c r="X79" s="57">
        <f t="shared" si="27"/>
        <v>11.11</v>
      </c>
      <c r="Y79" s="114">
        <f t="shared" si="17"/>
        <v>825</v>
      </c>
      <c r="Z79" s="110">
        <f t="shared" si="18"/>
        <v>32.94</v>
      </c>
      <c r="AA79" s="36"/>
      <c r="AB79" s="37"/>
      <c r="AC79" s="21">
        <f t="shared" si="13"/>
        <v>1477</v>
      </c>
      <c r="AD79" s="22">
        <f t="shared" si="14"/>
        <v>89.490000000000066</v>
      </c>
      <c r="AE79" s="38"/>
      <c r="AF79" s="39"/>
      <c r="AG79" s="22" t="str">
        <f t="shared" si="19"/>
        <v/>
      </c>
      <c r="AH79" s="22" t="str">
        <f t="shared" si="20"/>
        <v/>
      </c>
      <c r="AI79" s="40">
        <v>19500</v>
      </c>
      <c r="AJ79" s="27">
        <f>(K79*L79)+(N79*O79)+(Q79*R79)</f>
        <v>3960000</v>
      </c>
      <c r="AL79" s="41"/>
    </row>
    <row r="80" spans="1:38" x14ac:dyDescent="0.25">
      <c r="A80" s="30">
        <v>46195</v>
      </c>
      <c r="B80" s="73"/>
      <c r="C80" s="31"/>
      <c r="D80" s="73"/>
      <c r="E80" s="57"/>
      <c r="F80" s="73"/>
      <c r="G80" s="57"/>
      <c r="H80" s="90"/>
      <c r="I80" s="34"/>
      <c r="J80" s="83">
        <v>19</v>
      </c>
      <c r="K80" s="44">
        <v>1</v>
      </c>
      <c r="L80" s="77">
        <v>20500</v>
      </c>
      <c r="M80" s="32"/>
      <c r="N80" s="33"/>
      <c r="O80" s="86"/>
      <c r="P80" s="32"/>
      <c r="Q80" s="33"/>
      <c r="R80" s="86"/>
      <c r="S80" s="98">
        <f t="shared" si="22"/>
        <v>633</v>
      </c>
      <c r="T80" s="99">
        <f t="shared" si="23"/>
        <v>55.550000000000068</v>
      </c>
      <c r="U80" s="32">
        <f t="shared" si="24"/>
        <v>481</v>
      </c>
      <c r="V80" s="57">
        <f t="shared" si="25"/>
        <v>21.830000000000002</v>
      </c>
      <c r="W80" s="57">
        <f t="shared" si="26"/>
        <v>344</v>
      </c>
      <c r="X80" s="57">
        <f t="shared" si="27"/>
        <v>11.11</v>
      </c>
      <c r="Y80" s="114">
        <f t="shared" si="17"/>
        <v>825</v>
      </c>
      <c r="Z80" s="110">
        <f t="shared" si="18"/>
        <v>32.94</v>
      </c>
      <c r="AA80" s="36"/>
      <c r="AB80" s="37"/>
      <c r="AC80" s="21">
        <f t="shared" si="13"/>
        <v>1458</v>
      </c>
      <c r="AD80" s="22">
        <f t="shared" si="14"/>
        <v>88.490000000000066</v>
      </c>
      <c r="AE80" s="38"/>
      <c r="AF80" s="39"/>
      <c r="AG80" s="22" t="str">
        <f t="shared" si="19"/>
        <v/>
      </c>
      <c r="AH80" s="22" t="str">
        <f t="shared" si="20"/>
        <v/>
      </c>
      <c r="AI80" s="40">
        <v>19500</v>
      </c>
      <c r="AJ80" s="27">
        <f>(K80*L80)+(N80*O80)+(Q80*R80)</f>
        <v>20500</v>
      </c>
      <c r="AL80" s="41"/>
    </row>
    <row r="81" spans="1:38" x14ac:dyDescent="0.25">
      <c r="A81" s="30">
        <f>A79+1</f>
        <v>46196</v>
      </c>
      <c r="B81" s="73">
        <v>4753</v>
      </c>
      <c r="C81" s="31">
        <v>259.5</v>
      </c>
      <c r="D81" s="73">
        <v>14</v>
      </c>
      <c r="E81" s="57">
        <v>0.6</v>
      </c>
      <c r="F81" s="73">
        <v>20</v>
      </c>
      <c r="G81" s="57">
        <v>0.6</v>
      </c>
      <c r="H81" s="90">
        <f>B81+D81+F81</f>
        <v>4787</v>
      </c>
      <c r="I81" s="34">
        <f>C81+E81+G81</f>
        <v>260.70000000000005</v>
      </c>
      <c r="J81" s="83">
        <v>1098</v>
      </c>
      <c r="K81" s="44">
        <v>60</v>
      </c>
      <c r="L81" s="77">
        <v>19300</v>
      </c>
      <c r="M81" s="32"/>
      <c r="N81" s="33"/>
      <c r="O81" s="86"/>
      <c r="P81" s="32"/>
      <c r="Q81" s="33"/>
      <c r="R81" s="86"/>
      <c r="S81" s="98">
        <f t="shared" si="22"/>
        <v>4288</v>
      </c>
      <c r="T81" s="99">
        <f t="shared" si="23"/>
        <v>255.05000000000007</v>
      </c>
      <c r="U81" s="32">
        <f t="shared" si="24"/>
        <v>495</v>
      </c>
      <c r="V81" s="57">
        <f t="shared" si="25"/>
        <v>22.430000000000003</v>
      </c>
      <c r="W81" s="57">
        <f t="shared" si="26"/>
        <v>364</v>
      </c>
      <c r="X81" s="57">
        <f t="shared" si="27"/>
        <v>11.709999999999999</v>
      </c>
      <c r="Y81" s="114">
        <f t="shared" si="17"/>
        <v>859</v>
      </c>
      <c r="Z81" s="110">
        <f t="shared" si="18"/>
        <v>34.14</v>
      </c>
      <c r="AA81" s="36"/>
      <c r="AB81" s="37"/>
      <c r="AC81" s="21">
        <f t="shared" si="13"/>
        <v>5147</v>
      </c>
      <c r="AD81" s="22">
        <f t="shared" si="14"/>
        <v>289.19000000000005</v>
      </c>
      <c r="AE81" s="38"/>
      <c r="AF81" s="39"/>
      <c r="AG81" s="22" t="str">
        <f t="shared" si="19"/>
        <v/>
      </c>
      <c r="AH81" s="22" t="str">
        <f t="shared" si="20"/>
        <v/>
      </c>
      <c r="AI81" s="40">
        <v>19000</v>
      </c>
      <c r="AJ81" s="27">
        <f>(K81*L81)+(N81*O81)+(Q81*R81)</f>
        <v>1158000</v>
      </c>
      <c r="AL81" s="41"/>
    </row>
    <row r="82" spans="1:38" x14ac:dyDescent="0.25">
      <c r="A82" s="30">
        <v>46196</v>
      </c>
      <c r="B82" s="73"/>
      <c r="C82" s="31"/>
      <c r="D82" s="73"/>
      <c r="E82" s="57"/>
      <c r="F82" s="73"/>
      <c r="G82" s="57"/>
      <c r="H82" s="90"/>
      <c r="I82" s="34"/>
      <c r="J82" s="83">
        <v>37</v>
      </c>
      <c r="K82" s="44">
        <v>2</v>
      </c>
      <c r="L82" s="77">
        <v>20000</v>
      </c>
      <c r="M82" s="32"/>
      <c r="N82" s="33"/>
      <c r="O82" s="86"/>
      <c r="P82" s="32"/>
      <c r="Q82" s="33"/>
      <c r="R82" s="86"/>
      <c r="S82" s="98">
        <f t="shared" si="22"/>
        <v>4251</v>
      </c>
      <c r="T82" s="99">
        <f t="shared" si="23"/>
        <v>253.05000000000007</v>
      </c>
      <c r="U82" s="32">
        <f t="shared" si="24"/>
        <v>495</v>
      </c>
      <c r="V82" s="57">
        <f t="shared" si="25"/>
        <v>22.430000000000003</v>
      </c>
      <c r="W82" s="57">
        <f t="shared" si="26"/>
        <v>364</v>
      </c>
      <c r="X82" s="57">
        <f t="shared" si="27"/>
        <v>11.709999999999999</v>
      </c>
      <c r="Y82" s="114">
        <f t="shared" si="17"/>
        <v>859</v>
      </c>
      <c r="Z82" s="110">
        <f t="shared" si="18"/>
        <v>34.14</v>
      </c>
      <c r="AA82" s="36"/>
      <c r="AB82" s="37"/>
      <c r="AC82" s="21">
        <f t="shared" si="13"/>
        <v>5110</v>
      </c>
      <c r="AD82" s="22">
        <f t="shared" si="14"/>
        <v>287.19000000000005</v>
      </c>
      <c r="AE82" s="38"/>
      <c r="AF82" s="39"/>
      <c r="AG82" s="22" t="str">
        <f t="shared" si="19"/>
        <v/>
      </c>
      <c r="AH82" s="22" t="str">
        <f t="shared" si="20"/>
        <v/>
      </c>
      <c r="AI82" s="40">
        <v>19000</v>
      </c>
      <c r="AJ82" s="27">
        <f>(K82*L82)+(N82*O82)+(Q82*R82)</f>
        <v>40000</v>
      </c>
      <c r="AL82" s="41"/>
    </row>
    <row r="83" spans="1:38" x14ac:dyDescent="0.25">
      <c r="A83" s="30">
        <v>46196</v>
      </c>
      <c r="B83" s="73"/>
      <c r="C83" s="31"/>
      <c r="D83" s="73"/>
      <c r="E83" s="57"/>
      <c r="F83" s="73"/>
      <c r="G83" s="57"/>
      <c r="H83" s="90"/>
      <c r="I83" s="34"/>
      <c r="J83" s="81">
        <v>1842</v>
      </c>
      <c r="K83" s="42">
        <v>100</v>
      </c>
      <c r="L83" s="75">
        <v>19500</v>
      </c>
      <c r="M83" s="32"/>
      <c r="N83" s="33"/>
      <c r="O83" s="86"/>
      <c r="P83" s="32"/>
      <c r="Q83" s="33"/>
      <c r="R83" s="86"/>
      <c r="S83" s="98">
        <f t="shared" si="22"/>
        <v>2409</v>
      </c>
      <c r="T83" s="99">
        <f t="shared" si="23"/>
        <v>153.05000000000007</v>
      </c>
      <c r="U83" s="32">
        <f t="shared" si="24"/>
        <v>495</v>
      </c>
      <c r="V83" s="57">
        <f t="shared" si="25"/>
        <v>22.430000000000003</v>
      </c>
      <c r="W83" s="57">
        <f t="shared" si="26"/>
        <v>364</v>
      </c>
      <c r="X83" s="57">
        <f t="shared" si="27"/>
        <v>11.709999999999999</v>
      </c>
      <c r="Y83" s="114">
        <f t="shared" si="17"/>
        <v>859</v>
      </c>
      <c r="Z83" s="110">
        <f t="shared" si="18"/>
        <v>34.14</v>
      </c>
      <c r="AA83" s="36"/>
      <c r="AB83" s="37"/>
      <c r="AC83" s="21">
        <f t="shared" si="13"/>
        <v>3268</v>
      </c>
      <c r="AD83" s="22">
        <f t="shared" si="14"/>
        <v>187.19000000000005</v>
      </c>
      <c r="AE83" s="38"/>
      <c r="AF83" s="39"/>
      <c r="AG83" s="22" t="str">
        <f t="shared" si="19"/>
        <v/>
      </c>
      <c r="AH83" s="22" t="str">
        <f t="shared" si="20"/>
        <v/>
      </c>
      <c r="AI83" s="40">
        <v>19000</v>
      </c>
      <c r="AJ83" s="27">
        <f>(K83*L83)+(N83*O83)+(Q83*R83)</f>
        <v>1950000</v>
      </c>
      <c r="AL83" s="41"/>
    </row>
    <row r="84" spans="1:38" x14ac:dyDescent="0.25">
      <c r="A84" s="30">
        <f>A81+1</f>
        <v>46197</v>
      </c>
      <c r="B84" s="73">
        <v>4785</v>
      </c>
      <c r="C84" s="31">
        <v>263.3</v>
      </c>
      <c r="D84" s="73">
        <v>20</v>
      </c>
      <c r="E84" s="57">
        <v>1</v>
      </c>
      <c r="F84" s="73">
        <v>11</v>
      </c>
      <c r="G84" s="57">
        <v>0.4</v>
      </c>
      <c r="H84" s="90">
        <f>B84+D84+F84</f>
        <v>4816</v>
      </c>
      <c r="I84" s="34">
        <f>C84+E84+G84</f>
        <v>264.7</v>
      </c>
      <c r="J84" s="25">
        <v>7294</v>
      </c>
      <c r="K84" s="35">
        <v>400</v>
      </c>
      <c r="L84" s="74">
        <v>18300</v>
      </c>
      <c r="M84" s="32"/>
      <c r="N84" s="33"/>
      <c r="O84" s="86"/>
      <c r="P84" s="32"/>
      <c r="Q84" s="33"/>
      <c r="R84" s="86"/>
      <c r="S84" s="98">
        <f t="shared" si="22"/>
        <v>-100</v>
      </c>
      <c r="T84" s="99">
        <f t="shared" si="23"/>
        <v>16.35000000000008</v>
      </c>
      <c r="U84" s="32">
        <f t="shared" si="24"/>
        <v>515</v>
      </c>
      <c r="V84" s="57">
        <f t="shared" si="25"/>
        <v>23.430000000000003</v>
      </c>
      <c r="W84" s="57">
        <f t="shared" si="26"/>
        <v>375</v>
      </c>
      <c r="X84" s="57">
        <f t="shared" si="27"/>
        <v>12.11</v>
      </c>
      <c r="Y84" s="114">
        <f t="shared" si="17"/>
        <v>890</v>
      </c>
      <c r="Z84" s="110">
        <f t="shared" si="18"/>
        <v>35.540000000000006</v>
      </c>
      <c r="AA84" s="36"/>
      <c r="AB84" s="37"/>
      <c r="AC84" s="21">
        <f t="shared" si="13"/>
        <v>790</v>
      </c>
      <c r="AD84" s="22">
        <f t="shared" si="14"/>
        <v>51.890000000000086</v>
      </c>
      <c r="AE84" s="38"/>
      <c r="AF84" s="39"/>
      <c r="AG84" s="22" t="str">
        <f t="shared" si="19"/>
        <v/>
      </c>
      <c r="AH84" s="22" t="str">
        <f t="shared" si="20"/>
        <v/>
      </c>
      <c r="AI84" s="40">
        <v>18500</v>
      </c>
      <c r="AJ84" s="27">
        <f>(K84*L84)+(N84*O84)+(Q84*R84)</f>
        <v>7320000</v>
      </c>
      <c r="AL84" s="41"/>
    </row>
    <row r="85" spans="1:38" x14ac:dyDescent="0.25">
      <c r="A85" s="30">
        <v>46197</v>
      </c>
      <c r="B85" s="73"/>
      <c r="C85" s="31"/>
      <c r="D85" s="73"/>
      <c r="E85" s="57"/>
      <c r="F85" s="73"/>
      <c r="G85" s="57"/>
      <c r="H85" s="90"/>
      <c r="I85" s="34"/>
      <c r="J85" s="25">
        <v>242</v>
      </c>
      <c r="K85" s="35">
        <v>13</v>
      </c>
      <c r="L85" s="74">
        <v>19300</v>
      </c>
      <c r="M85" s="32"/>
      <c r="N85" s="33"/>
      <c r="O85" s="86"/>
      <c r="P85" s="32"/>
      <c r="Q85" s="33"/>
      <c r="R85" s="86"/>
      <c r="S85" s="98">
        <f t="shared" si="22"/>
        <v>-342</v>
      </c>
      <c r="T85" s="99">
        <f t="shared" si="23"/>
        <v>3.3500000000000796</v>
      </c>
      <c r="U85" s="32">
        <f t="shared" si="24"/>
        <v>515</v>
      </c>
      <c r="V85" s="57">
        <f t="shared" si="25"/>
        <v>23.430000000000003</v>
      </c>
      <c r="W85" s="57">
        <f t="shared" si="26"/>
        <v>375</v>
      </c>
      <c r="X85" s="57">
        <f t="shared" si="27"/>
        <v>12.11</v>
      </c>
      <c r="Y85" s="114">
        <f t="shared" si="17"/>
        <v>890</v>
      </c>
      <c r="Z85" s="110">
        <f t="shared" si="18"/>
        <v>35.540000000000006</v>
      </c>
      <c r="AA85" s="36"/>
      <c r="AB85" s="37"/>
      <c r="AC85" s="21">
        <f t="shared" si="13"/>
        <v>548</v>
      </c>
      <c r="AD85" s="22">
        <f t="shared" si="14"/>
        <v>38.890000000000086</v>
      </c>
      <c r="AE85" s="38"/>
      <c r="AF85" s="39"/>
      <c r="AG85" s="22" t="str">
        <f t="shared" si="19"/>
        <v/>
      </c>
      <c r="AH85" s="22" t="str">
        <f t="shared" si="20"/>
        <v/>
      </c>
      <c r="AI85" s="40">
        <v>18500</v>
      </c>
      <c r="AJ85" s="27">
        <f>(K85*L85)+(N85*O85)+(Q85*R85)</f>
        <v>250900</v>
      </c>
      <c r="AL85" s="41"/>
    </row>
    <row r="86" spans="1:38" x14ac:dyDescent="0.25">
      <c r="A86" s="30">
        <v>46197</v>
      </c>
      <c r="B86" s="73"/>
      <c r="C86" s="31"/>
      <c r="D86" s="73"/>
      <c r="E86" s="57"/>
      <c r="F86" s="73"/>
      <c r="G86" s="57"/>
      <c r="H86" s="90"/>
      <c r="I86" s="34"/>
      <c r="J86" s="25"/>
      <c r="K86" s="35"/>
      <c r="L86" s="74"/>
      <c r="M86" s="32">
        <v>19</v>
      </c>
      <c r="N86" s="33">
        <v>1</v>
      </c>
      <c r="O86" s="86">
        <v>17500</v>
      </c>
      <c r="P86" s="32"/>
      <c r="Q86" s="33"/>
      <c r="R86" s="86"/>
      <c r="S86" s="98">
        <f t="shared" si="22"/>
        <v>-342</v>
      </c>
      <c r="T86" s="99">
        <f t="shared" si="23"/>
        <v>3.3500000000000796</v>
      </c>
      <c r="U86" s="32">
        <f t="shared" si="24"/>
        <v>496</v>
      </c>
      <c r="V86" s="57">
        <f t="shared" si="25"/>
        <v>22.430000000000003</v>
      </c>
      <c r="W86" s="57">
        <f t="shared" si="26"/>
        <v>375</v>
      </c>
      <c r="X86" s="57">
        <f t="shared" si="27"/>
        <v>12.11</v>
      </c>
      <c r="Y86" s="114">
        <f t="shared" si="17"/>
        <v>871</v>
      </c>
      <c r="Z86" s="110">
        <f t="shared" si="18"/>
        <v>34.540000000000006</v>
      </c>
      <c r="AA86" s="36"/>
      <c r="AB86" s="37"/>
      <c r="AC86" s="21">
        <f t="shared" si="13"/>
        <v>529</v>
      </c>
      <c r="AD86" s="22">
        <f t="shared" si="14"/>
        <v>37.890000000000086</v>
      </c>
      <c r="AE86" s="38"/>
      <c r="AF86" s="39"/>
      <c r="AG86" s="22" t="str">
        <f t="shared" si="19"/>
        <v/>
      </c>
      <c r="AH86" s="22" t="str">
        <f t="shared" si="20"/>
        <v/>
      </c>
      <c r="AI86" s="40">
        <v>18500</v>
      </c>
      <c r="AJ86" s="27"/>
      <c r="AL86" s="41"/>
    </row>
    <row r="87" spans="1:38" x14ac:dyDescent="0.25">
      <c r="A87" s="30">
        <v>46197</v>
      </c>
      <c r="B87" s="73"/>
      <c r="C87" s="31"/>
      <c r="D87" s="73"/>
      <c r="E87" s="57"/>
      <c r="F87" s="73"/>
      <c r="G87" s="57"/>
      <c r="H87" s="90"/>
      <c r="I87" s="34"/>
      <c r="J87" s="25"/>
      <c r="K87" s="35"/>
      <c r="L87" s="74"/>
      <c r="M87" s="32"/>
      <c r="N87" s="33"/>
      <c r="O87" s="86"/>
      <c r="P87" s="32"/>
      <c r="Q87" s="33"/>
      <c r="R87" s="86"/>
      <c r="S87" s="98">
        <f t="shared" si="22"/>
        <v>-342</v>
      </c>
      <c r="T87" s="99">
        <f t="shared" si="23"/>
        <v>3.3500000000000796</v>
      </c>
      <c r="U87" s="32">
        <f t="shared" si="24"/>
        <v>496</v>
      </c>
      <c r="V87" s="57">
        <f t="shared" si="25"/>
        <v>22.430000000000003</v>
      </c>
      <c r="W87" s="57">
        <f t="shared" si="26"/>
        <v>375</v>
      </c>
      <c r="X87" s="57">
        <f t="shared" si="27"/>
        <v>12.11</v>
      </c>
      <c r="Y87" s="114">
        <f t="shared" si="17"/>
        <v>871</v>
      </c>
      <c r="Z87" s="110">
        <f t="shared" si="18"/>
        <v>34.540000000000006</v>
      </c>
      <c r="AA87" s="36">
        <v>51</v>
      </c>
      <c r="AB87" s="37">
        <v>1.7</v>
      </c>
      <c r="AC87" s="21">
        <f t="shared" si="13"/>
        <v>478</v>
      </c>
      <c r="AD87" s="22">
        <f t="shared" si="14"/>
        <v>36.190000000000083</v>
      </c>
      <c r="AE87" s="38">
        <v>162</v>
      </c>
      <c r="AF87" s="39">
        <v>7.9</v>
      </c>
      <c r="AG87" s="22">
        <f t="shared" si="19"/>
        <v>316</v>
      </c>
      <c r="AH87" s="22">
        <f t="shared" si="20"/>
        <v>28.290000000000084</v>
      </c>
      <c r="AI87" s="40">
        <v>18500</v>
      </c>
      <c r="AJ87" s="27"/>
      <c r="AL87" s="41"/>
    </row>
    <row r="88" spans="1:38" x14ac:dyDescent="0.25">
      <c r="A88" s="30">
        <f>A84+1</f>
        <v>46198</v>
      </c>
      <c r="B88" s="73">
        <v>4790</v>
      </c>
      <c r="C88" s="31">
        <v>264.8</v>
      </c>
      <c r="D88" s="73">
        <v>23</v>
      </c>
      <c r="E88" s="57">
        <v>1.1000000000000001</v>
      </c>
      <c r="F88" s="73">
        <v>12</v>
      </c>
      <c r="G88" s="57">
        <v>0.4</v>
      </c>
      <c r="H88" s="90">
        <f>B88+D88+F88</f>
        <v>4825</v>
      </c>
      <c r="I88" s="34">
        <f>C88+E88+G88</f>
        <v>266.3</v>
      </c>
      <c r="J88" s="25">
        <v>919</v>
      </c>
      <c r="K88" s="35">
        <v>50</v>
      </c>
      <c r="L88" s="74">
        <v>18800</v>
      </c>
      <c r="M88" s="32"/>
      <c r="N88" s="33"/>
      <c r="O88" s="86"/>
      <c r="P88" s="32"/>
      <c r="Q88" s="33"/>
      <c r="R88" s="86"/>
      <c r="S88" s="98">
        <f t="shared" si="22"/>
        <v>3529</v>
      </c>
      <c r="T88" s="99">
        <f t="shared" si="23"/>
        <v>218.15000000000009</v>
      </c>
      <c r="U88" s="32">
        <f t="shared" si="24"/>
        <v>519</v>
      </c>
      <c r="V88" s="57">
        <f t="shared" si="25"/>
        <v>23.530000000000005</v>
      </c>
      <c r="W88" s="57">
        <f t="shared" si="26"/>
        <v>387</v>
      </c>
      <c r="X88" s="57">
        <f t="shared" si="27"/>
        <v>12.51</v>
      </c>
      <c r="Y88" s="114">
        <f t="shared" si="17"/>
        <v>906</v>
      </c>
      <c r="Z88" s="110">
        <f t="shared" si="18"/>
        <v>36.040000000000006</v>
      </c>
      <c r="AA88" s="36"/>
      <c r="AB88" s="37"/>
      <c r="AC88" s="21">
        <f t="shared" si="13"/>
        <v>4435</v>
      </c>
      <c r="AD88" s="22">
        <f t="shared" si="14"/>
        <v>254.19000000000011</v>
      </c>
      <c r="AE88" s="38"/>
      <c r="AF88" s="39"/>
      <c r="AG88" s="22" t="str">
        <f t="shared" si="19"/>
        <v/>
      </c>
      <c r="AH88" s="22" t="str">
        <f t="shared" si="20"/>
        <v/>
      </c>
      <c r="AI88" s="40">
        <v>18000</v>
      </c>
      <c r="AJ88" s="27">
        <f>(K88*L88)+(N88*O88)+(Q88*R88)</f>
        <v>940000</v>
      </c>
      <c r="AL88" s="41"/>
    </row>
    <row r="89" spans="1:38" x14ac:dyDescent="0.25">
      <c r="A89" s="30">
        <v>46198</v>
      </c>
      <c r="B89" s="73"/>
      <c r="C89" s="31"/>
      <c r="D89" s="73"/>
      <c r="E89" s="57"/>
      <c r="F89" s="73"/>
      <c r="G89" s="57"/>
      <c r="H89" s="90">
        <f>B89+D89+F89</f>
        <v>0</v>
      </c>
      <c r="I89" s="34">
        <f>C89+E89+G89</f>
        <v>0</v>
      </c>
      <c r="J89" s="81">
        <v>904</v>
      </c>
      <c r="K89" s="42">
        <v>50</v>
      </c>
      <c r="L89" s="75">
        <v>19500</v>
      </c>
      <c r="M89" s="32"/>
      <c r="N89" s="33"/>
      <c r="O89" s="86"/>
      <c r="P89" s="32"/>
      <c r="Q89" s="33"/>
      <c r="R89" s="86"/>
      <c r="S89" s="98">
        <f t="shared" si="22"/>
        <v>2625</v>
      </c>
      <c r="T89" s="99">
        <f t="shared" si="23"/>
        <v>168.15000000000009</v>
      </c>
      <c r="U89" s="32">
        <f t="shared" si="24"/>
        <v>519</v>
      </c>
      <c r="V89" s="57">
        <f t="shared" si="25"/>
        <v>23.530000000000005</v>
      </c>
      <c r="W89" s="57">
        <f t="shared" si="26"/>
        <v>387</v>
      </c>
      <c r="X89" s="57">
        <f t="shared" si="27"/>
        <v>12.51</v>
      </c>
      <c r="Y89" s="114">
        <f t="shared" si="17"/>
        <v>906</v>
      </c>
      <c r="Z89" s="110">
        <f t="shared" si="18"/>
        <v>36.040000000000006</v>
      </c>
      <c r="AA89" s="36"/>
      <c r="AB89" s="37"/>
      <c r="AC89" s="21">
        <f t="shared" si="13"/>
        <v>3531</v>
      </c>
      <c r="AD89" s="22">
        <f t="shared" si="14"/>
        <v>204.19000000000011</v>
      </c>
      <c r="AE89" s="38"/>
      <c r="AF89" s="39"/>
      <c r="AG89" s="22" t="str">
        <f t="shared" si="19"/>
        <v/>
      </c>
      <c r="AH89" s="22" t="str">
        <f t="shared" si="20"/>
        <v/>
      </c>
      <c r="AI89" s="40">
        <v>18000</v>
      </c>
      <c r="AJ89" s="27">
        <f>(K89*L89)+(N89*O89)+(Q89*R89)</f>
        <v>975000</v>
      </c>
      <c r="AL89" s="41"/>
    </row>
    <row r="90" spans="1:38" x14ac:dyDescent="0.25">
      <c r="A90" s="30">
        <v>46198</v>
      </c>
      <c r="B90" s="73"/>
      <c r="C90" s="31"/>
      <c r="D90" s="73"/>
      <c r="E90" s="57"/>
      <c r="F90" s="73"/>
      <c r="G90" s="57"/>
      <c r="H90" s="90">
        <f>B90+D90+F90</f>
        <v>0</v>
      </c>
      <c r="I90" s="34">
        <f>C90+E90+G90</f>
        <v>0</v>
      </c>
      <c r="J90" s="25">
        <v>144</v>
      </c>
      <c r="K90" s="35">
        <v>8</v>
      </c>
      <c r="L90" s="74">
        <v>19500</v>
      </c>
      <c r="M90" s="32"/>
      <c r="N90" s="33"/>
      <c r="O90" s="86"/>
      <c r="P90" s="32"/>
      <c r="Q90" s="33"/>
      <c r="R90" s="86"/>
      <c r="S90" s="98">
        <f t="shared" si="22"/>
        <v>2481</v>
      </c>
      <c r="T90" s="99">
        <f t="shared" si="23"/>
        <v>160.15000000000009</v>
      </c>
      <c r="U90" s="32">
        <f t="shared" si="24"/>
        <v>519</v>
      </c>
      <c r="V90" s="57">
        <f t="shared" si="25"/>
        <v>23.530000000000005</v>
      </c>
      <c r="W90" s="57">
        <f t="shared" si="26"/>
        <v>387</v>
      </c>
      <c r="X90" s="57">
        <f t="shared" si="27"/>
        <v>12.51</v>
      </c>
      <c r="Y90" s="114">
        <f t="shared" si="17"/>
        <v>906</v>
      </c>
      <c r="Z90" s="110">
        <f t="shared" si="18"/>
        <v>36.040000000000006</v>
      </c>
      <c r="AA90" s="36"/>
      <c r="AB90" s="37"/>
      <c r="AC90" s="21">
        <f t="shared" si="13"/>
        <v>3387</v>
      </c>
      <c r="AD90" s="22">
        <f t="shared" si="14"/>
        <v>196.19000000000011</v>
      </c>
      <c r="AE90" s="38"/>
      <c r="AF90" s="39"/>
      <c r="AG90" s="22" t="str">
        <f t="shared" si="19"/>
        <v/>
      </c>
      <c r="AH90" s="22" t="str">
        <f t="shared" si="20"/>
        <v/>
      </c>
      <c r="AI90" s="40">
        <v>18000</v>
      </c>
      <c r="AJ90" s="27">
        <f>(K90*L90)+(N90*O90)+(Q90*R90)</f>
        <v>156000</v>
      </c>
      <c r="AL90" s="41"/>
    </row>
    <row r="91" spans="1:38" x14ac:dyDescent="0.25">
      <c r="A91" s="30">
        <v>46199</v>
      </c>
      <c r="B91" s="73">
        <v>4800</v>
      </c>
      <c r="C91" s="31">
        <v>265.7</v>
      </c>
      <c r="D91" s="87">
        <v>20</v>
      </c>
      <c r="E91" s="60">
        <v>1</v>
      </c>
      <c r="F91" s="87">
        <v>15</v>
      </c>
      <c r="G91" s="60">
        <v>0.6</v>
      </c>
      <c r="H91" s="90">
        <f>B91+D91+F91</f>
        <v>4835</v>
      </c>
      <c r="I91" s="34">
        <f>C91+E91+G91</f>
        <v>267.3</v>
      </c>
      <c r="J91" s="107">
        <v>7423</v>
      </c>
      <c r="K91" s="59">
        <v>410</v>
      </c>
      <c r="L91" s="78">
        <v>17500</v>
      </c>
      <c r="M91" s="32"/>
      <c r="N91" s="33"/>
      <c r="O91" s="86"/>
      <c r="P91" s="32"/>
      <c r="Q91" s="33"/>
      <c r="R91" s="86"/>
      <c r="S91" s="98">
        <f t="shared" si="22"/>
        <v>-142</v>
      </c>
      <c r="T91" s="106">
        <f t="shared" si="23"/>
        <v>15.85000000000008</v>
      </c>
      <c r="U91" s="32">
        <f t="shared" si="24"/>
        <v>539</v>
      </c>
      <c r="V91" s="57">
        <f t="shared" si="25"/>
        <v>24.530000000000005</v>
      </c>
      <c r="W91" s="57">
        <f t="shared" si="26"/>
        <v>402</v>
      </c>
      <c r="X91" s="57">
        <f t="shared" si="27"/>
        <v>13.11</v>
      </c>
      <c r="Y91" s="114">
        <f t="shared" si="17"/>
        <v>941</v>
      </c>
      <c r="Z91" s="110">
        <f t="shared" si="18"/>
        <v>37.64</v>
      </c>
      <c r="AA91" s="36"/>
      <c r="AB91" s="37"/>
      <c r="AC91" s="21">
        <f t="shared" si="13"/>
        <v>799</v>
      </c>
      <c r="AD91" s="22">
        <f t="shared" si="14"/>
        <v>53.49000000000008</v>
      </c>
      <c r="AE91" s="38"/>
      <c r="AF91" s="39"/>
      <c r="AG91" s="22" t="str">
        <f t="shared" si="19"/>
        <v/>
      </c>
      <c r="AH91" s="22" t="str">
        <f t="shared" si="20"/>
        <v/>
      </c>
      <c r="AI91" s="40">
        <v>17200</v>
      </c>
      <c r="AJ91" s="27">
        <f>(K91*L91)+(N91*O91)+(Q91*R91)</f>
        <v>7175000</v>
      </c>
      <c r="AL91" s="41"/>
    </row>
    <row r="92" spans="1:38" x14ac:dyDescent="0.25">
      <c r="A92" s="30">
        <v>46199</v>
      </c>
      <c r="B92" s="73"/>
      <c r="C92" s="31"/>
      <c r="D92" s="73"/>
      <c r="E92" s="57"/>
      <c r="F92" s="73"/>
      <c r="G92" s="57"/>
      <c r="H92" s="90">
        <f>B92+D92+F92</f>
        <v>0</v>
      </c>
      <c r="I92" s="34">
        <f>C92+E92+G92</f>
        <v>0</v>
      </c>
      <c r="J92" s="25">
        <v>120</v>
      </c>
      <c r="K92" s="35">
        <v>6.5</v>
      </c>
      <c r="L92" s="74">
        <v>20000</v>
      </c>
      <c r="M92" s="32"/>
      <c r="N92" s="33"/>
      <c r="O92" s="86"/>
      <c r="P92" s="32"/>
      <c r="Q92" s="33"/>
      <c r="R92" s="86"/>
      <c r="S92" s="98">
        <f t="shared" si="22"/>
        <v>-262</v>
      </c>
      <c r="T92" s="99">
        <f t="shared" si="23"/>
        <v>9.3500000000000796</v>
      </c>
      <c r="U92" s="32">
        <f t="shared" si="24"/>
        <v>539</v>
      </c>
      <c r="V92" s="57">
        <f t="shared" si="25"/>
        <v>24.530000000000005</v>
      </c>
      <c r="W92" s="57">
        <f t="shared" si="26"/>
        <v>402</v>
      </c>
      <c r="X92" s="57">
        <f t="shared" si="27"/>
        <v>13.11</v>
      </c>
      <c r="Y92" s="114">
        <f t="shared" si="17"/>
        <v>941</v>
      </c>
      <c r="Z92" s="110">
        <f t="shared" si="18"/>
        <v>37.64</v>
      </c>
      <c r="AA92" s="36"/>
      <c r="AB92" s="37"/>
      <c r="AC92" s="21">
        <f t="shared" si="13"/>
        <v>679</v>
      </c>
      <c r="AD92" s="22">
        <f t="shared" si="14"/>
        <v>46.99000000000008</v>
      </c>
      <c r="AE92" s="38">
        <v>312</v>
      </c>
      <c r="AF92" s="39">
        <v>15.2</v>
      </c>
      <c r="AG92" s="22">
        <f t="shared" si="19"/>
        <v>367</v>
      </c>
      <c r="AH92" s="22">
        <f t="shared" si="20"/>
        <v>31.790000000000081</v>
      </c>
      <c r="AI92" s="40">
        <v>17200</v>
      </c>
      <c r="AJ92" s="27">
        <f>(K92*L92)+(N92*O92)+(Q92*R92)</f>
        <v>130000</v>
      </c>
      <c r="AL92" s="41"/>
    </row>
    <row r="93" spans="1:38" x14ac:dyDescent="0.25">
      <c r="A93" s="30">
        <f t="shared" ref="A93:A96" si="28">A92+1</f>
        <v>46200</v>
      </c>
      <c r="B93" s="73">
        <v>4800</v>
      </c>
      <c r="C93" s="31">
        <v>265.89999999999998</v>
      </c>
      <c r="D93" s="73">
        <v>20</v>
      </c>
      <c r="E93" s="57">
        <v>1</v>
      </c>
      <c r="F93" s="73">
        <v>9</v>
      </c>
      <c r="G93" s="57">
        <v>0.2</v>
      </c>
      <c r="H93" s="90">
        <f>B93+D93+F93</f>
        <v>4829</v>
      </c>
      <c r="I93" s="34">
        <f>C93+E93+G93</f>
        <v>267.09999999999997</v>
      </c>
      <c r="J93" s="25"/>
      <c r="K93" s="35"/>
      <c r="L93" s="74"/>
      <c r="M93" s="32"/>
      <c r="N93" s="33"/>
      <c r="O93" s="86"/>
      <c r="P93" s="32"/>
      <c r="Q93" s="33"/>
      <c r="R93" s="86"/>
      <c r="S93" s="98">
        <f t="shared" si="22"/>
        <v>4538</v>
      </c>
      <c r="T93" s="99">
        <f t="shared" si="23"/>
        <v>275.25000000000006</v>
      </c>
      <c r="U93" s="32">
        <f t="shared" si="24"/>
        <v>559</v>
      </c>
      <c r="V93" s="57">
        <f t="shared" si="25"/>
        <v>25.530000000000005</v>
      </c>
      <c r="W93" s="57">
        <f t="shared" si="26"/>
        <v>411</v>
      </c>
      <c r="X93" s="57">
        <f t="shared" si="27"/>
        <v>13.309999999999999</v>
      </c>
      <c r="Y93" s="114">
        <f t="shared" si="17"/>
        <v>970</v>
      </c>
      <c r="Z93" s="110">
        <f t="shared" si="18"/>
        <v>38.840000000000003</v>
      </c>
      <c r="AA93" s="36"/>
      <c r="AB93" s="37"/>
      <c r="AC93" s="21">
        <f t="shared" si="13"/>
        <v>5508</v>
      </c>
      <c r="AD93" s="22">
        <f t="shared" si="14"/>
        <v>314.09000000000003</v>
      </c>
      <c r="AE93" s="38"/>
      <c r="AF93" s="39"/>
      <c r="AG93" s="22" t="str">
        <f t="shared" si="19"/>
        <v/>
      </c>
      <c r="AH93" s="22" t="str">
        <f t="shared" si="20"/>
        <v/>
      </c>
      <c r="AI93" s="40">
        <v>17000</v>
      </c>
      <c r="AJ93" s="27">
        <f>(K93*L93)+(N93*O93)+(Q93*R93)</f>
        <v>0</v>
      </c>
      <c r="AL93" s="41"/>
    </row>
    <row r="94" spans="1:38" x14ac:dyDescent="0.25">
      <c r="A94" s="30">
        <f t="shared" si="28"/>
        <v>46201</v>
      </c>
      <c r="B94" s="73">
        <v>4816</v>
      </c>
      <c r="C94" s="31">
        <v>268.60000000000002</v>
      </c>
      <c r="D94" s="73">
        <v>20</v>
      </c>
      <c r="E94" s="57">
        <v>1</v>
      </c>
      <c r="F94" s="73">
        <v>10</v>
      </c>
      <c r="G94" s="57">
        <v>0.4</v>
      </c>
      <c r="H94" s="90">
        <f>B94+D94+F94</f>
        <v>4846</v>
      </c>
      <c r="I94" s="34">
        <f>C94+E94+G94</f>
        <v>270</v>
      </c>
      <c r="J94" s="25"/>
      <c r="K94" s="35"/>
      <c r="L94" s="74"/>
      <c r="M94" s="32"/>
      <c r="N94" s="33"/>
      <c r="O94" s="86"/>
      <c r="P94" s="32"/>
      <c r="Q94" s="33"/>
      <c r="R94" s="86"/>
      <c r="S94" s="98">
        <f t="shared" si="22"/>
        <v>9354</v>
      </c>
      <c r="T94" s="99">
        <f t="shared" si="23"/>
        <v>543.85000000000014</v>
      </c>
      <c r="U94" s="32">
        <f t="shared" si="24"/>
        <v>579</v>
      </c>
      <c r="V94" s="57">
        <f t="shared" si="25"/>
        <v>26.530000000000005</v>
      </c>
      <c r="W94" s="57">
        <f t="shared" si="26"/>
        <v>421</v>
      </c>
      <c r="X94" s="57">
        <f t="shared" si="27"/>
        <v>13.709999999999999</v>
      </c>
      <c r="Y94" s="114">
        <f t="shared" si="17"/>
        <v>1000</v>
      </c>
      <c r="Z94" s="110">
        <f t="shared" si="18"/>
        <v>40.24</v>
      </c>
      <c r="AA94" s="36"/>
      <c r="AB94" s="37"/>
      <c r="AC94" s="21">
        <f t="shared" si="13"/>
        <v>10354</v>
      </c>
      <c r="AD94" s="22">
        <f t="shared" si="14"/>
        <v>584.09000000000015</v>
      </c>
      <c r="AE94" s="38"/>
      <c r="AF94" s="39"/>
      <c r="AG94" s="22" t="str">
        <f t="shared" si="19"/>
        <v/>
      </c>
      <c r="AH94" s="22" t="str">
        <f t="shared" si="20"/>
        <v/>
      </c>
      <c r="AI94" s="40">
        <v>17000</v>
      </c>
      <c r="AJ94" s="27">
        <f>(K94*L94)+(N94*O94)+(Q94*R94)</f>
        <v>0</v>
      </c>
      <c r="AL94" s="41"/>
    </row>
    <row r="95" spans="1:38" x14ac:dyDescent="0.25">
      <c r="A95" s="30">
        <f t="shared" si="28"/>
        <v>46202</v>
      </c>
      <c r="B95" s="73">
        <v>4813</v>
      </c>
      <c r="C95" s="31">
        <v>268.8</v>
      </c>
      <c r="D95" s="87">
        <v>21</v>
      </c>
      <c r="E95" s="60">
        <v>1</v>
      </c>
      <c r="F95" s="87">
        <v>12</v>
      </c>
      <c r="G95" s="60">
        <v>0.3</v>
      </c>
      <c r="H95" s="90">
        <f>B95+D95+F95</f>
        <v>4846</v>
      </c>
      <c r="I95" s="34">
        <f>C95+E95+G95</f>
        <v>270.10000000000002</v>
      </c>
      <c r="J95" s="107"/>
      <c r="K95" s="35"/>
      <c r="L95" s="74"/>
      <c r="M95" s="32"/>
      <c r="N95" s="33"/>
      <c r="O95" s="86"/>
      <c r="P95" s="32"/>
      <c r="Q95" s="33"/>
      <c r="R95" s="86"/>
      <c r="S95" s="98">
        <f t="shared" si="22"/>
        <v>14167</v>
      </c>
      <c r="T95" s="106">
        <f t="shared" si="23"/>
        <v>812.65000000000009</v>
      </c>
      <c r="U95" s="32">
        <f t="shared" si="24"/>
        <v>600</v>
      </c>
      <c r="V95" s="57">
        <f t="shared" si="25"/>
        <v>27.530000000000005</v>
      </c>
      <c r="W95" s="57">
        <f t="shared" si="26"/>
        <v>433</v>
      </c>
      <c r="X95" s="57">
        <f t="shared" si="27"/>
        <v>14.01</v>
      </c>
      <c r="Y95" s="114">
        <f t="shared" si="17"/>
        <v>1033</v>
      </c>
      <c r="Z95" s="110">
        <f t="shared" si="18"/>
        <v>41.540000000000006</v>
      </c>
      <c r="AA95" s="36"/>
      <c r="AB95" s="37"/>
      <c r="AC95" s="21">
        <f t="shared" ref="AC95:AC96" si="29">S95+Y95-AA95</f>
        <v>15200</v>
      </c>
      <c r="AD95" s="22">
        <f t="shared" ref="AD95:AD96" si="30">T95+Z95-AB95</f>
        <v>854.19</v>
      </c>
      <c r="AE95" s="38"/>
      <c r="AF95" s="39"/>
      <c r="AG95" s="22" t="str">
        <f t="shared" si="19"/>
        <v/>
      </c>
      <c r="AH95" s="22" t="str">
        <f t="shared" si="20"/>
        <v/>
      </c>
      <c r="AI95" s="40">
        <v>17000</v>
      </c>
      <c r="AJ95" s="27">
        <f>(K95*L95)+(N95*O95)+(Q95*R95)</f>
        <v>0</v>
      </c>
      <c r="AL95" s="41"/>
    </row>
    <row r="96" spans="1:38" x14ac:dyDescent="0.25">
      <c r="A96" s="30">
        <f t="shared" si="28"/>
        <v>46203</v>
      </c>
      <c r="B96" s="73"/>
      <c r="C96" s="31"/>
      <c r="D96" s="87"/>
      <c r="E96" s="60"/>
      <c r="F96" s="87"/>
      <c r="G96" s="60"/>
      <c r="H96" s="90">
        <f>B96+D96+F96</f>
        <v>0</v>
      </c>
      <c r="I96" s="34">
        <f>C96+E96+G96</f>
        <v>0</v>
      </c>
      <c r="J96" s="107"/>
      <c r="K96" s="59"/>
      <c r="L96" s="78"/>
      <c r="M96" s="32"/>
      <c r="N96" s="33"/>
      <c r="O96" s="86"/>
      <c r="P96" s="32"/>
      <c r="Q96" s="33"/>
      <c r="R96" s="86"/>
      <c r="S96" s="98">
        <f t="shared" si="22"/>
        <v>14167</v>
      </c>
      <c r="T96" s="106">
        <f t="shared" si="23"/>
        <v>812.65000000000009</v>
      </c>
      <c r="U96" s="32">
        <f t="shared" si="24"/>
        <v>600</v>
      </c>
      <c r="V96" s="57">
        <f t="shared" si="25"/>
        <v>27.530000000000005</v>
      </c>
      <c r="W96" s="57">
        <f t="shared" si="26"/>
        <v>433</v>
      </c>
      <c r="X96" s="57">
        <f t="shared" si="27"/>
        <v>14.01</v>
      </c>
      <c r="Y96" s="114">
        <f t="shared" si="17"/>
        <v>1033</v>
      </c>
      <c r="Z96" s="110">
        <f t="shared" si="18"/>
        <v>41.540000000000006</v>
      </c>
      <c r="AA96" s="36"/>
      <c r="AB96" s="37"/>
      <c r="AC96" s="21">
        <f t="shared" si="29"/>
        <v>15200</v>
      </c>
      <c r="AD96" s="22">
        <f t="shared" si="30"/>
        <v>854.19</v>
      </c>
      <c r="AE96" s="38"/>
      <c r="AF96" s="39"/>
      <c r="AG96" s="22" t="str">
        <f t="shared" si="19"/>
        <v/>
      </c>
      <c r="AH96" s="22" t="str">
        <f t="shared" si="20"/>
        <v/>
      </c>
      <c r="AI96" s="40">
        <v>18300</v>
      </c>
      <c r="AJ96" s="27">
        <f>(K96*L96)+(N96*O96)+(Q96*R96)</f>
        <v>0</v>
      </c>
      <c r="AL96" s="41"/>
    </row>
  </sheetData>
  <conditionalFormatting sqref="AC1:AH1048576">
    <cfRule type="cellIs" dxfId="3" priority="2" operator="lessThan">
      <formula>0</formula>
    </cfRule>
  </conditionalFormatting>
  <conditionalFormatting sqref="AI1:AI96">
    <cfRule type="cellIs" dxfId="2" priority="3" operator="between">
      <formula>21500</formula>
      <formula>22500</formula>
    </cfRule>
    <cfRule type="cellIs" dxfId="1" priority="4" operator="lessThan">
      <formula>21500</formula>
    </cfRule>
    <cfRule type="cellIs" dxfId="0" priority="5" operator="greaterThan">
      <formula>22500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santoso</dc:creator>
  <cp:lastModifiedBy>rudi santoso</cp:lastModifiedBy>
  <dcterms:created xsi:type="dcterms:W3CDTF">2026-06-25T06:15:41Z</dcterms:created>
  <dcterms:modified xsi:type="dcterms:W3CDTF">2026-06-30T17:29:18Z</dcterms:modified>
</cp:coreProperties>
</file>